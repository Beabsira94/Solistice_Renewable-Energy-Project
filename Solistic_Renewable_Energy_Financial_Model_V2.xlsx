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ifiya-my.sharepoint.com/personal/byenezer_kifiya_com/Documents/Desktop/Portfolio Projects/Project -4 Solitice Renewable Financial Model/"/>
    </mc:Choice>
  </mc:AlternateContent>
  <xr:revisionPtr revIDLastSave="25" documentId="13_ncr:1_{ABB8DF03-1D13-4916-AA9F-6AC87E4354D1}" xr6:coauthVersionLast="47" xr6:coauthVersionMax="47" xr10:uidLastSave="{C88E1EC0-670A-41CA-BC3F-E3BC4746BFC1}"/>
  <bookViews>
    <workbookView xWindow="-110" yWindow="-110" windowWidth="19420" windowHeight="10300" tabRatio="500" xr2:uid="{00000000-000D-0000-FFFF-FFFF00000000}"/>
  </bookViews>
  <sheets>
    <sheet name="README" sheetId="1" r:id="rId1"/>
    <sheet name="Dash_Source" sheetId="13" state="hidden" r:id="rId2"/>
    <sheet name="Assumptions" sheetId="3" r:id="rId3"/>
    <sheet name="Dashboard" sheetId="2" r:id="rId4"/>
    <sheet name="Income_Statement" sheetId="8" r:id="rId5"/>
    <sheet name="Balance_Sheet" sheetId="9" r:id="rId6"/>
    <sheet name="Cash_Flow" sheetId="10" r:id="rId7"/>
    <sheet name="Deploymnet_&amp;_CAPEX_Schedule" sheetId="4" r:id="rId8"/>
    <sheet name="Debt_Schedule" sheetId="5" r:id="rId9"/>
    <sheet name="Depreciation_ITC" sheetId="6" r:id="rId10"/>
    <sheet name="Revenue_Build" sheetId="7" r:id="rId11"/>
    <sheet name="Cap_Table" sheetId="11" r:id="rId12"/>
    <sheet name="MDM" sheetId="12" state="hidden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3" l="1"/>
  <c r="G7" i="3" s="1"/>
  <c r="H7" i="3" s="1"/>
  <c r="E7" i="3"/>
  <c r="G12" i="13"/>
  <c r="F12" i="13"/>
  <c r="E12" i="13"/>
  <c r="D12" i="13"/>
  <c r="C12" i="13"/>
  <c r="F21" i="3"/>
  <c r="G21" i="3"/>
  <c r="H21" i="3"/>
  <c r="E21" i="3"/>
  <c r="E41" i="3"/>
  <c r="F41" i="3"/>
  <c r="G41" i="3"/>
  <c r="H41" i="3"/>
  <c r="B11" i="13"/>
  <c r="B12" i="13"/>
  <c r="B10" i="13"/>
  <c r="D17" i="11" l="1"/>
  <c r="F14" i="11"/>
  <c r="E14" i="11"/>
  <c r="C7" i="11"/>
  <c r="C8" i="11" s="1"/>
  <c r="F19" i="11" s="1"/>
  <c r="C25" i="10"/>
  <c r="C19" i="10"/>
  <c r="C31" i="9"/>
  <c r="H25" i="9"/>
  <c r="G25" i="9"/>
  <c r="F25" i="9"/>
  <c r="E25" i="9"/>
  <c r="D25" i="9"/>
  <c r="C19" i="8"/>
  <c r="C18" i="8"/>
  <c r="C40" i="7"/>
  <c r="C8" i="7"/>
  <c r="C36" i="7" s="1"/>
  <c r="C7" i="8" s="1"/>
  <c r="C11" i="13" s="1"/>
  <c r="C6" i="7"/>
  <c r="C6" i="6"/>
  <c r="C7" i="4"/>
  <c r="G5" i="4"/>
  <c r="F5" i="4"/>
  <c r="E5" i="4"/>
  <c r="D5" i="4"/>
  <c r="C5" i="4"/>
  <c r="E57" i="3"/>
  <c r="D12" i="6" s="1"/>
  <c r="E54" i="3"/>
  <c r="F54" i="3" s="1"/>
  <c r="G54" i="3" s="1"/>
  <c r="H54" i="3" s="1"/>
  <c r="E53" i="3"/>
  <c r="F53" i="3" s="1"/>
  <c r="G53" i="3" s="1"/>
  <c r="H53" i="3" s="1"/>
  <c r="E50" i="3"/>
  <c r="F50" i="3" s="1"/>
  <c r="G50" i="3" s="1"/>
  <c r="H50" i="3" s="1"/>
  <c r="E49" i="3"/>
  <c r="D19" i="8" s="1"/>
  <c r="E47" i="3"/>
  <c r="F47" i="3" s="1"/>
  <c r="E43" i="3"/>
  <c r="F43" i="3" s="1"/>
  <c r="G43" i="3" s="1"/>
  <c r="H43" i="3" s="1"/>
  <c r="D42" i="3"/>
  <c r="E42" i="3" s="1"/>
  <c r="F42" i="3" s="1"/>
  <c r="G42" i="3" s="1"/>
  <c r="H42" i="3" s="1"/>
  <c r="E40" i="3"/>
  <c r="F40" i="3" s="1"/>
  <c r="G40" i="3" s="1"/>
  <c r="H40" i="3" s="1"/>
  <c r="E39" i="3"/>
  <c r="F39" i="3" s="1"/>
  <c r="G39" i="3" s="1"/>
  <c r="H39" i="3" s="1"/>
  <c r="E36" i="3"/>
  <c r="F36" i="3" s="1"/>
  <c r="G36" i="3" s="1"/>
  <c r="H36" i="3" s="1"/>
  <c r="E35" i="3"/>
  <c r="F35" i="3" s="1"/>
  <c r="G35" i="3" s="1"/>
  <c r="H35" i="3" s="1"/>
  <c r="E34" i="3"/>
  <c r="F34" i="3" s="1"/>
  <c r="G34" i="3" s="1"/>
  <c r="H34" i="3" s="1"/>
  <c r="E33" i="3"/>
  <c r="F33" i="3" s="1"/>
  <c r="D32" i="3"/>
  <c r="E32" i="3" s="1"/>
  <c r="F32" i="3" s="1"/>
  <c r="G32" i="3" s="1"/>
  <c r="H32" i="3" s="1"/>
  <c r="E31" i="3"/>
  <c r="F31" i="3" s="1"/>
  <c r="G31" i="3" s="1"/>
  <c r="H31" i="3" s="1"/>
  <c r="E28" i="3"/>
  <c r="F28" i="3" s="1"/>
  <c r="G28" i="3" s="1"/>
  <c r="H28" i="3" s="1"/>
  <c r="E27" i="3"/>
  <c r="F27" i="3" s="1"/>
  <c r="E23" i="3"/>
  <c r="F23" i="3" s="1"/>
  <c r="G23" i="3" s="1"/>
  <c r="H23" i="3" s="1"/>
  <c r="E22" i="3"/>
  <c r="D14" i="7" s="1"/>
  <c r="E20" i="3"/>
  <c r="D12" i="7" s="1"/>
  <c r="E19" i="3"/>
  <c r="F19" i="3" s="1"/>
  <c r="G19" i="3" s="1"/>
  <c r="H19" i="3" s="1"/>
  <c r="E18" i="3"/>
  <c r="E17" i="3"/>
  <c r="F17" i="3" s="1"/>
  <c r="E15" i="3"/>
  <c r="F15" i="3" s="1"/>
  <c r="G15" i="3" s="1"/>
  <c r="H15" i="3" s="1"/>
  <c r="E14" i="3"/>
  <c r="F14" i="3" s="1"/>
  <c r="G14" i="3" s="1"/>
  <c r="H14" i="3" s="1"/>
  <c r="D11" i="3"/>
  <c r="D7" i="3"/>
  <c r="C55" i="1"/>
  <c r="C54" i="1"/>
  <c r="C52" i="1"/>
  <c r="C51" i="1"/>
  <c r="C50" i="1"/>
  <c r="C49" i="1"/>
  <c r="C48" i="1"/>
  <c r="C47" i="1"/>
  <c r="D5" i="7" l="1"/>
  <c r="C5" i="7"/>
  <c r="C7" i="13"/>
  <c r="C53" i="1"/>
  <c r="C10" i="4"/>
  <c r="C14" i="10" s="1"/>
  <c r="D7" i="4"/>
  <c r="D10" i="4" s="1"/>
  <c r="D15" i="4" s="1"/>
  <c r="D8" i="7"/>
  <c r="D36" i="7" s="1"/>
  <c r="D7" i="8" s="1"/>
  <c r="D11" i="13" s="1"/>
  <c r="D40" i="7"/>
  <c r="D41" i="7" s="1"/>
  <c r="D12" i="8" s="1"/>
  <c r="F18" i="3"/>
  <c r="E17" i="7" s="1"/>
  <c r="F22" i="3"/>
  <c r="G22" i="3" s="1"/>
  <c r="F8" i="7" s="1"/>
  <c r="C17" i="2"/>
  <c r="C4" i="8"/>
  <c r="C9" i="13" s="1"/>
  <c r="C14" i="13" s="1"/>
  <c r="C19" i="13" s="1"/>
  <c r="C7" i="7"/>
  <c r="C35" i="7" s="1"/>
  <c r="C44" i="7" s="1"/>
  <c r="C45" i="7" s="1"/>
  <c r="G47" i="3"/>
  <c r="E18" i="8"/>
  <c r="G27" i="3"/>
  <c r="E40" i="7"/>
  <c r="D4" i="5"/>
  <c r="D3" i="4"/>
  <c r="D3" i="6"/>
  <c r="D4" i="10"/>
  <c r="D3" i="7"/>
  <c r="E4" i="9"/>
  <c r="D4" i="8"/>
  <c r="D9" i="13" s="1"/>
  <c r="D14" i="13" s="1"/>
  <c r="D19" i="13" s="1"/>
  <c r="C6" i="4"/>
  <c r="C25" i="2" s="1"/>
  <c r="E11" i="3"/>
  <c r="F49" i="3"/>
  <c r="C41" i="7"/>
  <c r="C12" i="8" s="1"/>
  <c r="C8" i="8"/>
  <c r="E13" i="11"/>
  <c r="G33" i="3"/>
  <c r="C11" i="4"/>
  <c r="C15" i="4"/>
  <c r="C14" i="4"/>
  <c r="H22" i="3"/>
  <c r="F20" i="7"/>
  <c r="F14" i="7"/>
  <c r="D17" i="2"/>
  <c r="D16" i="4"/>
  <c r="D17" i="4" s="1"/>
  <c r="D22" i="4" s="1"/>
  <c r="D11" i="6" s="1"/>
  <c r="D13" i="6" s="1"/>
  <c r="D14" i="4"/>
  <c r="D14" i="10"/>
  <c r="G17" i="3"/>
  <c r="E7" i="4"/>
  <c r="E10" i="4" s="1"/>
  <c r="C16" i="4"/>
  <c r="C17" i="4" s="1"/>
  <c r="D4" i="9"/>
  <c r="F20" i="3"/>
  <c r="D6" i="7"/>
  <c r="D7" i="7" s="1"/>
  <c r="D18" i="8"/>
  <c r="C3" i="7"/>
  <c r="F57" i="3"/>
  <c r="D11" i="7"/>
  <c r="D13" i="7" s="1"/>
  <c r="C4" i="10"/>
  <c r="C3" i="6"/>
  <c r="G18" i="3"/>
  <c r="C3" i="4"/>
  <c r="C4" i="5"/>
  <c r="E8" i="7" l="1"/>
  <c r="E20" i="7"/>
  <c r="E14" i="7"/>
  <c r="E11" i="7"/>
  <c r="E5" i="7"/>
  <c r="C22" i="4"/>
  <c r="C5" i="6" s="1"/>
  <c r="C7" i="6" s="1"/>
  <c r="E8" i="6" s="1"/>
  <c r="F26" i="7"/>
  <c r="C21" i="4"/>
  <c r="D8" i="8"/>
  <c r="C6" i="8"/>
  <c r="C10" i="13" s="1"/>
  <c r="C37" i="7"/>
  <c r="C11" i="8" s="1"/>
  <c r="C13" i="8" s="1"/>
  <c r="D35" i="7"/>
  <c r="D6" i="8" s="1"/>
  <c r="D10" i="13" s="1"/>
  <c r="F36" i="7"/>
  <c r="F7" i="8" s="1"/>
  <c r="F11" i="13" s="1"/>
  <c r="E19" i="8"/>
  <c r="G49" i="3"/>
  <c r="E4" i="5"/>
  <c r="E3" i="4"/>
  <c r="E3" i="6"/>
  <c r="E4" i="10"/>
  <c r="E3" i="7"/>
  <c r="F4" i="9"/>
  <c r="E4" i="8"/>
  <c r="E9" i="13" s="1"/>
  <c r="E14" i="13" s="1"/>
  <c r="E19" i="13" s="1"/>
  <c r="E17" i="2"/>
  <c r="F14" i="6"/>
  <c r="G14" i="6"/>
  <c r="E14" i="6"/>
  <c r="D14" i="6"/>
  <c r="D11" i="4"/>
  <c r="C26" i="2"/>
  <c r="D6" i="4"/>
  <c r="D25" i="2" s="1"/>
  <c r="F11" i="3"/>
  <c r="H27" i="3"/>
  <c r="G40" i="7" s="1"/>
  <c r="F40" i="7"/>
  <c r="C15" i="10"/>
  <c r="C16" i="10" s="1"/>
  <c r="C27" i="2"/>
  <c r="D27" i="2" s="1"/>
  <c r="C38" i="6"/>
  <c r="F18" i="8"/>
  <c r="H47" i="3"/>
  <c r="G18" i="8" s="1"/>
  <c r="E15" i="4"/>
  <c r="E14" i="4"/>
  <c r="E14" i="10"/>
  <c r="E16" i="4"/>
  <c r="E17" i="4" s="1"/>
  <c r="E22" i="4" s="1"/>
  <c r="E17" i="6" s="1"/>
  <c r="H33" i="3"/>
  <c r="E12" i="7"/>
  <c r="E13" i="7" s="1"/>
  <c r="E6" i="7"/>
  <c r="E7" i="7" s="1"/>
  <c r="G20" i="3"/>
  <c r="E18" i="7"/>
  <c r="E19" i="7" s="1"/>
  <c r="E16" i="11"/>
  <c r="F16" i="11" s="1"/>
  <c r="E15" i="11"/>
  <c r="F15" i="11" s="1"/>
  <c r="F13" i="11"/>
  <c r="G8" i="6"/>
  <c r="F8" i="6"/>
  <c r="C8" i="6"/>
  <c r="C35" i="6" s="1"/>
  <c r="C26" i="8" s="1"/>
  <c r="F17" i="7"/>
  <c r="F23" i="7"/>
  <c r="H18" i="3"/>
  <c r="F11" i="7"/>
  <c r="F5" i="7"/>
  <c r="E41" i="7"/>
  <c r="E12" i="8" s="1"/>
  <c r="E8" i="8"/>
  <c r="H17" i="3"/>
  <c r="G7" i="4" s="1"/>
  <c r="G10" i="4" s="1"/>
  <c r="F7" i="4"/>
  <c r="F10" i="4" s="1"/>
  <c r="G57" i="3"/>
  <c r="E18" i="6"/>
  <c r="C9" i="8"/>
  <c r="D48" i="5"/>
  <c r="D20" i="10" s="1"/>
  <c r="D14" i="5"/>
  <c r="G32" i="7"/>
  <c r="G20" i="7"/>
  <c r="G14" i="7"/>
  <c r="G26" i="7"/>
  <c r="G8" i="7"/>
  <c r="D15" i="10"/>
  <c r="D16" i="10" s="1"/>
  <c r="D21" i="4"/>
  <c r="D38" i="6"/>
  <c r="C48" i="5"/>
  <c r="C20" i="10" s="1"/>
  <c r="C6" i="5"/>
  <c r="E36" i="7" l="1"/>
  <c r="E7" i="8" s="1"/>
  <c r="E11" i="13" s="1"/>
  <c r="E21" i="4"/>
  <c r="D8" i="6"/>
  <c r="D35" i="6" s="1"/>
  <c r="D26" i="8" s="1"/>
  <c r="D8" i="10" s="1"/>
  <c r="E19" i="6"/>
  <c r="G20" i="6" s="1"/>
  <c r="D44" i="7"/>
  <c r="D46" i="7" s="1"/>
  <c r="D37" i="7"/>
  <c r="D11" i="8" s="1"/>
  <c r="D13" i="8" s="1"/>
  <c r="G36" i="7"/>
  <c r="G7" i="8" s="1"/>
  <c r="G11" i="13" s="1"/>
  <c r="F3" i="6"/>
  <c r="F4" i="10"/>
  <c r="F3" i="7"/>
  <c r="G4" i="9"/>
  <c r="F4" i="8"/>
  <c r="F9" i="13" s="1"/>
  <c r="F14" i="13" s="1"/>
  <c r="F19" i="13" s="1"/>
  <c r="F3" i="4"/>
  <c r="F17" i="2"/>
  <c r="F4" i="5"/>
  <c r="D9" i="8"/>
  <c r="G23" i="7"/>
  <c r="G11" i="7"/>
  <c r="G29" i="7"/>
  <c r="G5" i="7"/>
  <c r="G17" i="7"/>
  <c r="C18" i="2"/>
  <c r="C15" i="8"/>
  <c r="C20" i="8"/>
  <c r="C21" i="8" s="1"/>
  <c r="D19" i="9" s="1"/>
  <c r="D13" i="9"/>
  <c r="D14" i="9" s="1"/>
  <c r="C9" i="10" s="1"/>
  <c r="E35" i="7"/>
  <c r="E6" i="4"/>
  <c r="E25" i="2" s="1"/>
  <c r="G11" i="3"/>
  <c r="D16" i="5"/>
  <c r="D15" i="5"/>
  <c r="C8" i="10"/>
  <c r="E27" i="2"/>
  <c r="C8" i="5"/>
  <c r="C7" i="5"/>
  <c r="F15" i="4"/>
  <c r="C26" i="13" s="1"/>
  <c r="F14" i="4"/>
  <c r="F14" i="10"/>
  <c r="F16" i="4"/>
  <c r="F17" i="4" s="1"/>
  <c r="F21" i="4"/>
  <c r="G14" i="4"/>
  <c r="G14" i="10"/>
  <c r="G16" i="4"/>
  <c r="G17" i="4" s="1"/>
  <c r="G21" i="4" s="1"/>
  <c r="G15" i="4"/>
  <c r="E15" i="10"/>
  <c r="E16" i="10" s="1"/>
  <c r="E38" i="6"/>
  <c r="F19" i="8"/>
  <c r="H49" i="3"/>
  <c r="G19" i="8" s="1"/>
  <c r="F24" i="6"/>
  <c r="H57" i="3"/>
  <c r="G30" i="6" s="1"/>
  <c r="E11" i="4"/>
  <c r="D26" i="2"/>
  <c r="D15" i="9"/>
  <c r="F41" i="7"/>
  <c r="F12" i="8" s="1"/>
  <c r="F8" i="8"/>
  <c r="F6" i="7"/>
  <c r="F7" i="7" s="1"/>
  <c r="H20" i="3"/>
  <c r="F18" i="7"/>
  <c r="F19" i="7" s="1"/>
  <c r="F12" i="7"/>
  <c r="F13" i="7" s="1"/>
  <c r="F24" i="7"/>
  <c r="F25" i="7" s="1"/>
  <c r="F20" i="11"/>
  <c r="E22" i="5"/>
  <c r="E48" i="5"/>
  <c r="E20" i="10" s="1"/>
  <c r="G41" i="7"/>
  <c r="G12" i="8" s="1"/>
  <c r="G8" i="8"/>
  <c r="C25" i="13" l="1"/>
  <c r="E20" i="6"/>
  <c r="E35" i="6" s="1"/>
  <c r="E26" i="8" s="1"/>
  <c r="F20" i="6"/>
  <c r="C27" i="13"/>
  <c r="D45" i="7"/>
  <c r="E8" i="10"/>
  <c r="G4" i="10"/>
  <c r="G3" i="7"/>
  <c r="H4" i="9"/>
  <c r="G4" i="8"/>
  <c r="G9" i="13" s="1"/>
  <c r="G14" i="13" s="1"/>
  <c r="G19" i="13" s="1"/>
  <c r="G17" i="2"/>
  <c r="G3" i="4"/>
  <c r="G3" i="6"/>
  <c r="G4" i="5"/>
  <c r="D17" i="5"/>
  <c r="D18" i="5" s="1"/>
  <c r="D19" i="5" s="1"/>
  <c r="E16" i="5" s="1"/>
  <c r="F15" i="10"/>
  <c r="F16" i="10" s="1"/>
  <c r="F38" i="6"/>
  <c r="F30" i="5"/>
  <c r="F48" i="5"/>
  <c r="F20" i="10" s="1"/>
  <c r="C24" i="2"/>
  <c r="E15" i="9"/>
  <c r="F22" i="4"/>
  <c r="F23" i="6" s="1"/>
  <c r="F25" i="6" s="1"/>
  <c r="F6" i="4"/>
  <c r="F25" i="2" s="1"/>
  <c r="H11" i="3"/>
  <c r="G6" i="4" s="1"/>
  <c r="E24" i="5"/>
  <c r="E23" i="5"/>
  <c r="D18" i="2"/>
  <c r="D15" i="8"/>
  <c r="D20" i="8"/>
  <c r="D21" i="8" s="1"/>
  <c r="E19" i="9" s="1"/>
  <c r="E13" i="9"/>
  <c r="E14" i="9" s="1"/>
  <c r="D9" i="10" s="1"/>
  <c r="E37" i="7"/>
  <c r="E11" i="8" s="1"/>
  <c r="E13" i="8" s="1"/>
  <c r="E6" i="8"/>
  <c r="E10" i="13" s="1"/>
  <c r="E44" i="7"/>
  <c r="E46" i="7" s="1"/>
  <c r="G38" i="5"/>
  <c r="G48" i="5"/>
  <c r="G20" i="10" s="1"/>
  <c r="G30" i="7"/>
  <c r="G31" i="7" s="1"/>
  <c r="G6" i="7"/>
  <c r="G7" i="7" s="1"/>
  <c r="G18" i="7"/>
  <c r="G19" i="7" s="1"/>
  <c r="G12" i="7"/>
  <c r="G13" i="7" s="1"/>
  <c r="G24" i="7"/>
  <c r="G25" i="7" s="1"/>
  <c r="C9" i="5"/>
  <c r="C46" i="5" s="1"/>
  <c r="C29" i="8" s="1"/>
  <c r="D20" i="9"/>
  <c r="C10" i="10" s="1"/>
  <c r="G15" i="10"/>
  <c r="G16" i="10" s="1"/>
  <c r="G38" i="6"/>
  <c r="F11" i="4"/>
  <c r="E26" i="2"/>
  <c r="G22" i="4"/>
  <c r="G29" i="6" s="1"/>
  <c r="G31" i="6" s="1"/>
  <c r="G32" i="6" s="1"/>
  <c r="F35" i="7"/>
  <c r="F27" i="2"/>
  <c r="G27" i="2" s="1"/>
  <c r="C23" i="8"/>
  <c r="C15" i="13" s="1"/>
  <c r="C16" i="8"/>
  <c r="C20" i="13" l="1"/>
  <c r="C19" i="2"/>
  <c r="E45" i="7"/>
  <c r="E17" i="5"/>
  <c r="E18" i="5" s="1"/>
  <c r="E19" i="5" s="1"/>
  <c r="F16" i="5" s="1"/>
  <c r="C24" i="8"/>
  <c r="C27" i="8"/>
  <c r="E25" i="5"/>
  <c r="E26" i="5" s="1"/>
  <c r="E27" i="5" s="1"/>
  <c r="F24" i="5" s="1"/>
  <c r="G25" i="2"/>
  <c r="G26" i="6"/>
  <c r="G35" i="6" s="1"/>
  <c r="G26" i="8" s="1"/>
  <c r="F26" i="6"/>
  <c r="F35" i="6" s="1"/>
  <c r="F26" i="8" s="1"/>
  <c r="F37" i="7"/>
  <c r="F11" i="8" s="1"/>
  <c r="F13" i="8" s="1"/>
  <c r="F6" i="8"/>
  <c r="F10" i="13" s="1"/>
  <c r="F44" i="7"/>
  <c r="F46" i="7" s="1"/>
  <c r="G35" i="7"/>
  <c r="D24" i="2"/>
  <c r="F15" i="9"/>
  <c r="F32" i="5"/>
  <c r="F31" i="5"/>
  <c r="E9" i="8"/>
  <c r="C10" i="5"/>
  <c r="G11" i="4"/>
  <c r="G26" i="2" s="1"/>
  <c r="F26" i="2"/>
  <c r="G40" i="5"/>
  <c r="G39" i="5"/>
  <c r="E20" i="9"/>
  <c r="D10" i="10" s="1"/>
  <c r="D16" i="8"/>
  <c r="D23" i="8"/>
  <c r="D15" i="13" s="1"/>
  <c r="D19" i="2" l="1"/>
  <c r="D20" i="13"/>
  <c r="C21" i="13"/>
  <c r="C20" i="2"/>
  <c r="F25" i="5"/>
  <c r="F26" i="5" s="1"/>
  <c r="F27" i="5" s="1"/>
  <c r="G24" i="5" s="1"/>
  <c r="F8" i="10"/>
  <c r="E24" i="2"/>
  <c r="G15" i="9"/>
  <c r="C30" i="8"/>
  <c r="G41" i="5"/>
  <c r="G42" i="5" s="1"/>
  <c r="G43" i="5" s="1"/>
  <c r="F45" i="7"/>
  <c r="F33" i="5"/>
  <c r="F34" i="5" s="1"/>
  <c r="F35" i="5" s="1"/>
  <c r="G32" i="5" s="1"/>
  <c r="G6" i="8"/>
  <c r="G10" i="13" s="1"/>
  <c r="G44" i="7"/>
  <c r="G46" i="7" s="1"/>
  <c r="G37" i="7"/>
  <c r="G11" i="8" s="1"/>
  <c r="G13" i="8" s="1"/>
  <c r="C47" i="5"/>
  <c r="C21" i="10" s="1"/>
  <c r="C22" i="10" s="1"/>
  <c r="C11" i="5"/>
  <c r="E18" i="2"/>
  <c r="E15" i="8"/>
  <c r="F13" i="9"/>
  <c r="F14" i="9" s="1"/>
  <c r="E9" i="10" s="1"/>
  <c r="E20" i="8"/>
  <c r="E21" i="8" s="1"/>
  <c r="F19" i="9" s="1"/>
  <c r="F9" i="8"/>
  <c r="F17" i="5"/>
  <c r="F18" i="5" s="1"/>
  <c r="F19" i="5" s="1"/>
  <c r="G16" i="5" s="1"/>
  <c r="G8" i="10"/>
  <c r="D24" i="8"/>
  <c r="D27" i="8"/>
  <c r="D21" i="13" l="1"/>
  <c r="D20" i="2"/>
  <c r="G25" i="5"/>
  <c r="G26" i="5" s="1"/>
  <c r="G27" i="5" s="1"/>
  <c r="C32" i="8"/>
  <c r="C33" i="8" s="1"/>
  <c r="G33" i="5"/>
  <c r="G34" i="5" s="1"/>
  <c r="G35" i="5" s="1"/>
  <c r="H15" i="9"/>
  <c r="G24" i="2" s="1"/>
  <c r="F24" i="2"/>
  <c r="D8" i="5"/>
  <c r="C49" i="5"/>
  <c r="D21" i="9" s="1"/>
  <c r="G17" i="5"/>
  <c r="G18" i="5" s="1"/>
  <c r="G19" i="5" s="1"/>
  <c r="F20" i="9"/>
  <c r="E10" i="10" s="1"/>
  <c r="E16" i="8"/>
  <c r="E23" i="8"/>
  <c r="E15" i="13" s="1"/>
  <c r="G45" i="7"/>
  <c r="G9" i="8"/>
  <c r="C3" i="13" s="1"/>
  <c r="F18" i="2"/>
  <c r="F15" i="8"/>
  <c r="G13" i="9"/>
  <c r="G14" i="9" s="1"/>
  <c r="F9" i="10" s="1"/>
  <c r="F20" i="8"/>
  <c r="F21" i="8" s="1"/>
  <c r="G19" i="9" s="1"/>
  <c r="E19" i="2" l="1"/>
  <c r="E20" i="13"/>
  <c r="D9" i="5"/>
  <c r="E24" i="8"/>
  <c r="E27" i="8"/>
  <c r="G20" i="9"/>
  <c r="F10" i="10" s="1"/>
  <c r="D22" i="9"/>
  <c r="C34" i="8"/>
  <c r="D31" i="8" s="1"/>
  <c r="C35" i="8"/>
  <c r="C36" i="8" s="1"/>
  <c r="C16" i="13" s="1"/>
  <c r="F23" i="8"/>
  <c r="F15" i="13" s="1"/>
  <c r="F16" i="8"/>
  <c r="G18" i="2"/>
  <c r="G15" i="8"/>
  <c r="H13" i="9"/>
  <c r="H14" i="9" s="1"/>
  <c r="G9" i="10" s="1"/>
  <c r="G20" i="8"/>
  <c r="G21" i="8" s="1"/>
  <c r="H19" i="9" s="1"/>
  <c r="F19" i="2" l="1"/>
  <c r="F20" i="13"/>
  <c r="E21" i="13"/>
  <c r="E20" i="2"/>
  <c r="D26" i="9"/>
  <c r="C37" i="8"/>
  <c r="C21" i="2"/>
  <c r="C7" i="10"/>
  <c r="C11" i="10" s="1"/>
  <c r="C24" i="10" s="1"/>
  <c r="C26" i="10" s="1"/>
  <c r="G23" i="8"/>
  <c r="G15" i="13" s="1"/>
  <c r="G16" i="8"/>
  <c r="H20" i="9"/>
  <c r="G10" i="10" s="1"/>
  <c r="F24" i="8"/>
  <c r="F27" i="8"/>
  <c r="D46" i="5"/>
  <c r="D29" i="8" s="1"/>
  <c r="D30" i="8" s="1"/>
  <c r="D10" i="5"/>
  <c r="G20" i="13" l="1"/>
  <c r="G19" i="2"/>
  <c r="C22" i="2"/>
  <c r="C22" i="13"/>
  <c r="F20" i="2"/>
  <c r="F21" i="13"/>
  <c r="D32" i="8"/>
  <c r="D33" i="8" s="1"/>
  <c r="G24" i="8"/>
  <c r="C4" i="13" s="1"/>
  <c r="G27" i="8"/>
  <c r="D47" i="5"/>
  <c r="D21" i="10" s="1"/>
  <c r="D22" i="10" s="1"/>
  <c r="D11" i="5"/>
  <c r="D12" i="9"/>
  <c r="D25" i="10"/>
  <c r="D27" i="9"/>
  <c r="D29" i="9" s="1"/>
  <c r="G21" i="13" l="1"/>
  <c r="G20" i="2"/>
  <c r="D16" i="9"/>
  <c r="D31" i="9" s="1"/>
  <c r="C23" i="2"/>
  <c r="D35" i="8"/>
  <c r="D36" i="8" s="1"/>
  <c r="D16" i="13" s="1"/>
  <c r="D34" i="8"/>
  <c r="E31" i="8" s="1"/>
  <c r="E8" i="5"/>
  <c r="D49" i="5"/>
  <c r="E21" i="9" s="1"/>
  <c r="E22" i="9" l="1"/>
  <c r="D37" i="8"/>
  <c r="D21" i="2"/>
  <c r="D7" i="10"/>
  <c r="D11" i="10" s="1"/>
  <c r="D24" i="10" s="1"/>
  <c r="D26" i="10" s="1"/>
  <c r="E26" i="9"/>
  <c r="E9" i="5"/>
  <c r="D22" i="2" l="1"/>
  <c r="D22" i="13"/>
  <c r="E46" i="5"/>
  <c r="E29" i="8" s="1"/>
  <c r="E30" i="8" s="1"/>
  <c r="E10" i="5"/>
  <c r="E27" i="9"/>
  <c r="E29" i="9" s="1"/>
  <c r="E12" i="9"/>
  <c r="E25" i="10"/>
  <c r="D23" i="2" l="1"/>
  <c r="E16" i="9"/>
  <c r="E31" i="9" s="1"/>
  <c r="E47" i="5"/>
  <c r="E21" i="10" s="1"/>
  <c r="E22" i="10" s="1"/>
  <c r="E11" i="5"/>
  <c r="E32" i="8"/>
  <c r="E33" i="8" s="1"/>
  <c r="E35" i="8" l="1"/>
  <c r="E36" i="8" s="1"/>
  <c r="E16" i="13" s="1"/>
  <c r="E34" i="8"/>
  <c r="F31" i="8" s="1"/>
  <c r="F8" i="5"/>
  <c r="E49" i="5"/>
  <c r="F21" i="9" s="1"/>
  <c r="F22" i="9" l="1"/>
  <c r="F9" i="5"/>
  <c r="E21" i="2"/>
  <c r="E7" i="10"/>
  <c r="E11" i="10" s="1"/>
  <c r="E24" i="10" s="1"/>
  <c r="E26" i="10" s="1"/>
  <c r="E37" i="8"/>
  <c r="F26" i="9"/>
  <c r="E22" i="2" l="1"/>
  <c r="E22" i="13"/>
  <c r="F46" i="5"/>
  <c r="F29" i="8" s="1"/>
  <c r="F30" i="8" s="1"/>
  <c r="F10" i="5"/>
  <c r="F12" i="9"/>
  <c r="F25" i="10"/>
  <c r="F27" i="9"/>
  <c r="F29" i="9" s="1"/>
  <c r="F16" i="9" l="1"/>
  <c r="F31" i="9" s="1"/>
  <c r="E23" i="2"/>
  <c r="F47" i="5"/>
  <c r="F21" i="10" s="1"/>
  <c r="F22" i="10" s="1"/>
  <c r="F11" i="5"/>
  <c r="F32" i="8"/>
  <c r="F33" i="8" s="1"/>
  <c r="F35" i="8" l="1"/>
  <c r="F36" i="8" s="1"/>
  <c r="F16" i="13" s="1"/>
  <c r="F34" i="8"/>
  <c r="G31" i="8" s="1"/>
  <c r="G8" i="5"/>
  <c r="F49" i="5"/>
  <c r="G21" i="9" s="1"/>
  <c r="G9" i="5" l="1"/>
  <c r="G22" i="9"/>
  <c r="F21" i="2"/>
  <c r="F7" i="10"/>
  <c r="F11" i="10" s="1"/>
  <c r="F24" i="10" s="1"/>
  <c r="F26" i="10" s="1"/>
  <c r="F37" i="8"/>
  <c r="G26" i="9"/>
  <c r="F22" i="2" l="1"/>
  <c r="F22" i="13"/>
  <c r="G27" i="9"/>
  <c r="G29" i="9" s="1"/>
  <c r="G12" i="9"/>
  <c r="G25" i="10"/>
  <c r="G46" i="5"/>
  <c r="G29" i="8" s="1"/>
  <c r="G30" i="8" s="1"/>
  <c r="G10" i="5"/>
  <c r="G32" i="8" l="1"/>
  <c r="G33" i="8" s="1"/>
  <c r="G47" i="5"/>
  <c r="G21" i="10" s="1"/>
  <c r="G22" i="10" s="1"/>
  <c r="G11" i="5"/>
  <c r="G49" i="5" s="1"/>
  <c r="H21" i="9" s="1"/>
  <c r="G16" i="9"/>
  <c r="G31" i="9" s="1"/>
  <c r="F23" i="2"/>
  <c r="G35" i="8" l="1"/>
  <c r="G36" i="8" s="1"/>
  <c r="G16" i="13" s="1"/>
  <c r="G34" i="8"/>
  <c r="H22" i="9"/>
  <c r="G21" i="2" l="1"/>
  <c r="G7" i="10"/>
  <c r="G11" i="10" s="1"/>
  <c r="G24" i="10" s="1"/>
  <c r="G26" i="10" s="1"/>
  <c r="C6" i="13" s="1"/>
  <c r="G37" i="8"/>
  <c r="H26" i="9"/>
  <c r="H27" i="9" s="1"/>
  <c r="H29" i="9" s="1"/>
  <c r="G22" i="13" l="1"/>
  <c r="C5" i="13"/>
  <c r="H12" i="9"/>
  <c r="G22" i="2"/>
  <c r="H16" i="9" l="1"/>
  <c r="H31" i="9" s="1"/>
  <c r="G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7" authorId="0" shapeId="0" xr:uid="{00000000-0006-0000-0200-000001000000}">
      <text>
        <r>
          <rPr>
            <sz val="10"/>
            <rFont val="Arial"/>
            <family val="2"/>
          </rPr>
          <t>Blended straight-line book useful life for the combined solar + battery storage system. Solar PV structures are typically depreciated over ~25-30 yrs and BESS over ~15-20 yrs for book purposes; considering this a 20 year useful life is assumed.</t>
        </r>
      </text>
    </comment>
  </commentList>
</comments>
</file>

<file path=xl/sharedStrings.xml><?xml version="1.0" encoding="utf-8"?>
<sst xmlns="http://schemas.openxmlformats.org/spreadsheetml/2006/main" count="432" uniqueCount="329">
  <si>
    <t>Financial Model — README &amp; User Guide</t>
  </si>
  <si>
    <t>Prepared for internal use  |  Model currency: USD  |  Model horizon: FY2026 – FY2030</t>
  </si>
  <si>
    <t>1.  Purpose &amp; Overview</t>
  </si>
  <si>
    <t>2.  How to Use This Workbook — Color &amp; Formatting Legend</t>
  </si>
  <si>
    <t>Blue text</t>
  </si>
  <si>
    <t>Hardcoded input / assumption — the only cells intended to be edited</t>
  </si>
  <si>
    <t>Black text</t>
  </si>
  <si>
    <t>Formula, calculated automatically — do not overwrite</t>
  </si>
  <si>
    <t>Cell comment (red triangle)</t>
  </si>
  <si>
    <t>Hover over the cell for a documented methodology note or data source</t>
  </si>
  <si>
    <t>Every projection year is fully formula-driven from the Assumptions tab — change any blue input cell and the entire model, including the Dashboard and its charts, recalculates automatically. No calculation or output sheet contains a hardcoded number.</t>
  </si>
  <si>
    <t>3.  Sheet-by-Sheet Guide</t>
  </si>
  <si>
    <t>Sheet</t>
  </si>
  <si>
    <t>Purpose</t>
  </si>
  <si>
    <t>Key Outputs</t>
  </si>
  <si>
    <t>Assumptions</t>
  </si>
  <si>
    <t>Every model driver: deployment plan, unit economics, revenue, financing, depreciation &amp; tax, corporate opex, working capital, and book depreciation life. The only sheet meant for direct editing (blue cells).</t>
  </si>
  <si>
    <t>All downstream drivers</t>
  </si>
  <si>
    <t>Deploymnet_&amp;_CAPEX_Schedule</t>
  </si>
  <si>
    <t>Builds the annual system roll-out, gross capex, and sources of funds (debt draw / equity / ITC direct pay) by vintage year.</t>
  </si>
  <si>
    <t>Capex, ITC cash credit, debt vs. equity funding split</t>
  </si>
  <si>
    <t>Debt_Schedule</t>
  </si>
  <si>
    <t>Amortizes each vintage’s asset-level debt draw over its tenor at its contract rate; rolls forward principal balances and interest expense.</t>
  </si>
  <si>
    <t>Interest expense, ending debt balance</t>
  </si>
  <si>
    <t>Depreciation_ITC</t>
  </si>
  <si>
    <t>Total book depreciation &amp; amortization (feeds Income Statement)</t>
  </si>
  <si>
    <t>Revenue_Build</t>
  </si>
  <si>
    <t>Builds PPA revenue (generation × escalating rate), grid services / demand response revenue, and recurring SaaS revenue (cumulative ARR) by year.</t>
  </si>
  <si>
    <t>Total revenue by stream</t>
  </si>
  <si>
    <t>Income_Statement</t>
  </si>
  <si>
    <t>Consolidates revenue, cost of revenue, opex, EBITDA, D&amp;A, interest, NOL utilization, and the blended-rate tax provision down to net income.</t>
  </si>
  <si>
    <t>EBITDA, EBIT, Net income, margins</t>
  </si>
  <si>
    <t>Balance_Sheet</t>
  </si>
  <si>
    <t>Rolls forward cash, working capital, net PP&amp;E, debt, and equity; ties assets to liabilities + equity every year.</t>
  </si>
  <si>
    <t>Total assets = Total liabilities + equity (balance check row)</t>
  </si>
  <si>
    <t>Cash_Flow</t>
  </si>
  <si>
    <t>Indirect-method cash flow: operating (net income + D&amp;A +/− working capital), investing (capex), and financing (debt draws, equity, Series A proceeds).</t>
  </si>
  <si>
    <t>Ending cash balance</t>
  </si>
  <si>
    <t>Cap_Table</t>
  </si>
  <si>
    <t>Pre- and post-Series A ownership by holder (Founders, SAFE, Seed, ESOP, new investor), including option-pool refresh and dilution mechanics.</t>
  </si>
  <si>
    <t>Post-Series A ownership %</t>
  </si>
  <si>
    <t>Dashboard</t>
  </si>
  <si>
    <t>Live KPI tiles, summary table, and charts built entirely from formulas that pull from the sheets above — nothing here is a pasted value.</t>
  </si>
  <si>
    <t>Executive summary view</t>
  </si>
  <si>
    <t>4.  Key Methodology Notes</t>
  </si>
  <si>
    <t>Depreciation (GAAP vs. tax):</t>
  </si>
  <si>
    <t>Book depreciation on the Income Statement is straight-line over each vintage’s useful life (default 20 years, blended solar + BESS), charged evenly every year in service. This is intentionally separate from bonus/accelerated tax depreciation, which affects cash taxes but not book D&amp;A — a standard book/tax divergence for capital-intensive businesses.</t>
  </si>
  <si>
    <t>Blended effective tax rate:</t>
  </si>
  <si>
    <t>Computed live as Federal + State × (1 − Federal), so the Income Statement tax provision always reflects the current Assumptions tab rates rather than a fixed number.</t>
  </si>
  <si>
    <t>ITC / Direct Pay:</t>
  </si>
  <si>
    <t>Modeled as a cash credit received the year the asset is placed in service, reducing net equity capex requirement and the depreciable book basis.</t>
  </si>
  <si>
    <t>Revenue recognition:</t>
  </si>
  <si>
    <t>PPA revenue = generation × the vintage’s escalating contract rate; SaaS revenue = cumulative ARR (recurring), not just bookings signed in the year.</t>
  </si>
  <si>
    <t>Margin assumptions:</t>
  </si>
  <si>
    <t>O&amp;M, SaaS gross margin, and installed cost per system are calibrated to industry benchmarks for a hybrid solar + storage IPP and an early/growth-stage vertical SaaS product (see Assumptions tab comments for each figure’s basis).</t>
  </si>
  <si>
    <t>5.  Key Assumptions Snapshot (live — pulls from Assumptions tab)</t>
  </si>
  <si>
    <t>Driver</t>
  </si>
  <si>
    <t>Value</t>
  </si>
  <si>
    <t>Assumptions Cell</t>
  </si>
  <si>
    <t>Installed cost per system, Year 1 ($)</t>
  </si>
  <si>
    <t>Assumptions!D15</t>
  </si>
  <si>
    <t>O&amp;M cost, % of PPA revenue</t>
  </si>
  <si>
    <t>Assumptions!D21</t>
  </si>
  <si>
    <t>SaaS gross margin</t>
  </si>
  <si>
    <t>Assumptions!D26</t>
  </si>
  <si>
    <t>ITC direct-pay rate</t>
  </si>
  <si>
    <t>Assumptions!D34</t>
  </si>
  <si>
    <t>Book depreciation useful life, Year 1 vintage (yrs)</t>
  </si>
  <si>
    <t>Assumptions!D56</t>
  </si>
  <si>
    <t>Federal corporate tax rate</t>
  </si>
  <si>
    <t>Assumptions!D39</t>
  </si>
  <si>
    <t>Blended effective tax rate (live formula)</t>
  </si>
  <si>
    <t>Assumptions!D41</t>
  </si>
  <si>
    <t>Asset debt tenor, Year 1 vintage (yrs)</t>
  </si>
  <si>
    <t>Assumptions!D33</t>
  </si>
  <si>
    <t>Asset debt rate, Year 1 vintage</t>
  </si>
  <si>
    <t>Assumptions!D32</t>
  </si>
  <si>
    <t>Executive Dashboard</t>
  </si>
  <si>
    <t>Total Revenue</t>
  </si>
  <si>
    <t>Metric</t>
  </si>
  <si>
    <t>PPA revenue</t>
  </si>
  <si>
    <t>Total revenue</t>
  </si>
  <si>
    <t>Gross profit</t>
  </si>
  <si>
    <t xml:space="preserve">   Gross margin %</t>
  </si>
  <si>
    <t>EBITDA</t>
  </si>
  <si>
    <t xml:space="preserve">   EBITDA margin %</t>
  </si>
  <si>
    <t>Depreciation &amp; amortization</t>
  </si>
  <si>
    <t>Net income</t>
  </si>
  <si>
    <t xml:space="preserve">   Net margin %</t>
  </si>
  <si>
    <t>Net PP&amp;E</t>
  </si>
  <si>
    <t>Asset debt outstanding</t>
  </si>
  <si>
    <t>Cumulative systems deployed</t>
  </si>
  <si>
    <t>Cumulative gross capex</t>
  </si>
  <si>
    <t>Cumulative ITC cash credit</t>
  </si>
  <si>
    <t>Pre-seed / friends &amp; family</t>
  </si>
  <si>
    <t>Seed investors</t>
  </si>
  <si>
    <t>Series A investors (new)</t>
  </si>
  <si>
    <t>Cumulative Capex Funding Sources</t>
  </si>
  <si>
    <t>Asset debt draw</t>
  </si>
  <si>
    <t>Equity / cash funded</t>
  </si>
  <si>
    <t>ITC cash credit (Direct Pay)</t>
  </si>
  <si>
    <t>Visual Analysis</t>
  </si>
  <si>
    <t>Unit</t>
  </si>
  <si>
    <t>Year 1</t>
  </si>
  <si>
    <t>Year 2</t>
  </si>
  <si>
    <t>Year 3</t>
  </si>
  <si>
    <t>Year 4</t>
  </si>
  <si>
    <t>Year 5</t>
  </si>
  <si>
    <t>Deployment Plan</t>
  </si>
  <si>
    <t>Systems installed (New)</t>
  </si>
  <si>
    <t xml:space="preserve">Count </t>
  </si>
  <si>
    <t>Cumulative systems installed</t>
  </si>
  <si>
    <t>Count in years</t>
  </si>
  <si>
    <t>Unit Economics (Per System)</t>
  </si>
  <si>
    <t>System size — solar (kW DC)</t>
  </si>
  <si>
    <t>kW</t>
  </si>
  <si>
    <t>System size — battery storage (kWh)</t>
  </si>
  <si>
    <t>kWh</t>
  </si>
  <si>
    <t>Cost decline / learning curve (%/yr)</t>
  </si>
  <si>
    <t>%</t>
  </si>
  <si>
    <t>Installed cost per system (blended, $)</t>
  </si>
  <si>
    <t>$</t>
  </si>
  <si>
    <t>Annual generation per system (Yr-1 of life)</t>
  </si>
  <si>
    <t>Solar/BESS output degradation (%/yr)</t>
  </si>
  <si>
    <t>PPA rate at contract signing ($/kWh)</t>
  </si>
  <si>
    <t>$/kWh</t>
  </si>
  <si>
    <t>PPA annual price escalator (%/yr)</t>
  </si>
  <si>
    <t>Grid services / demand response revenue</t>
  </si>
  <si>
    <t>$/sys/yr</t>
  </si>
  <si>
    <t>O&amp;M / monitoring (% of PPA revenue)</t>
  </si>
  <si>
    <t>Saas Licensing (Asset-Light)</t>
  </si>
  <si>
    <t>New SaaS ARR signed in year</t>
  </si>
  <si>
    <t>Cumulative SaaS ARR</t>
  </si>
  <si>
    <t>Project Financing Structure</t>
  </si>
  <si>
    <t>Asset debt facility (% of system capex)</t>
  </si>
  <si>
    <t>Equity / cash on hand (% of system capex)</t>
  </si>
  <si>
    <t>Asset debt interest rate (fixed)</t>
  </si>
  <si>
    <t>Asset debt tenor / amortization</t>
  </si>
  <si>
    <t>yrs</t>
  </si>
  <si>
    <t>ITC rate — Direct Pay (blended, base + adders)</t>
  </si>
  <si>
    <t>ITC depreciable basis reduction (% of ITC)</t>
  </si>
  <si>
    <t>Depreciation &amp; Tax  (Current Law, Post-Obbba — Enacted 7/4/2025)</t>
  </si>
  <si>
    <t>Bonus depreciation % (placed in service after 1/19/25)</t>
  </si>
  <si>
    <t>Blended effective tax rate</t>
  </si>
  <si>
    <t>NOL utilization limit (% of taxable income)</t>
  </si>
  <si>
    <t>Corporate Operating Expenses (Below Project Level)</t>
  </si>
  <si>
    <t>R&amp;D / software engineering — Year 1</t>
  </si>
  <si>
    <t>R&amp;D growth rate (%/yr)</t>
  </si>
  <si>
    <t>Sales &amp; business development — Year 1</t>
  </si>
  <si>
    <t>S&amp;BD growth rate (%/yr)</t>
  </si>
  <si>
    <t>G&amp;A as a % of Total Revenue</t>
  </si>
  <si>
    <t>Working Capital</t>
  </si>
  <si>
    <t>Accounts receivable days (DSO)</t>
  </si>
  <si>
    <t>days</t>
  </si>
  <si>
    <t>Accounts payable days (DPO)</t>
  </si>
  <si>
    <t>Book Depreciation (GAAP, Straight-Line)</t>
  </si>
  <si>
    <t>Useful life — solar &amp; BESS assets, blended (yrs)</t>
  </si>
  <si>
    <t>Deployment &amp; CAPEX Schedule</t>
  </si>
  <si>
    <t>Metrics</t>
  </si>
  <si>
    <t>System Build-Out</t>
  </si>
  <si>
    <t>New systems installed (vintage)</t>
  </si>
  <si>
    <t>Installed cost per system ($)</t>
  </si>
  <si>
    <t>Capital Expenditure</t>
  </si>
  <si>
    <t>Gross capex — new systems ($)</t>
  </si>
  <si>
    <t>Cumulative gross capex ($)</t>
  </si>
  <si>
    <t>Sources Of Funds</t>
  </si>
  <si>
    <t>Asset debt draw ($)</t>
  </si>
  <si>
    <t>Equity / cash funded ($)</t>
  </si>
  <si>
    <t>ITC eligible basis ($, = gross capex)</t>
  </si>
  <si>
    <t>ITC cash credit — Direct Pay ($)</t>
  </si>
  <si>
    <t>Net equity capex requirement, post-ITC ($)</t>
  </si>
  <si>
    <t>Tax Depreciable Basis — Informational (Irc Sec. 50(C))</t>
  </si>
  <si>
    <t>Tax depreciable basis, post 50(c) reduction ($)</t>
  </si>
  <si>
    <t>Book depreciable basis, net of full ITC ($)</t>
  </si>
  <si>
    <t>Asset Debt Schedule — Vintage Amortization</t>
  </si>
  <si>
    <t>Vintage</t>
  </si>
  <si>
    <t>Vintage 1 — Systems Installed FY2026</t>
  </si>
  <si>
    <t>Debt drawn at COD ($)</t>
  </si>
  <si>
    <t>Annual debt service (level pmt, $)</t>
  </si>
  <si>
    <t>Beginning balance ($)</t>
  </si>
  <si>
    <t>Interest expense ($)</t>
  </si>
  <si>
    <t>Principal repayment ($)</t>
  </si>
  <si>
    <t>Ending balance ($)</t>
  </si>
  <si>
    <t>Vintage 2 — Systems Installed FY2027</t>
  </si>
  <si>
    <t>Vintage 3 — Systems Installed FY2028</t>
  </si>
  <si>
    <t>Vintage 4 — Systems Installed FY2029</t>
  </si>
  <si>
    <t>Vintage 5 — Systems Installed Fy2030</t>
  </si>
  <si>
    <t>Consolidated — All Vintages</t>
  </si>
  <si>
    <t>Total interest expense ($)</t>
  </si>
  <si>
    <t>Total principal repayment ($)</t>
  </si>
  <si>
    <t>Total debt drawn in year ($)</t>
  </si>
  <si>
    <t>Total debt outstanding, end of year ($)</t>
  </si>
  <si>
    <t>Depreciation &amp; ITC Schedule</t>
  </si>
  <si>
    <t>Vintage 1 — Systems Installed Fy2026</t>
  </si>
  <si>
    <t>Useful life — straight-line (yrs)</t>
  </si>
  <si>
    <t>Straight-line depreciation expense ($/yr)</t>
  </si>
  <si>
    <t>Depreciation expense — this vintage ($)</t>
  </si>
  <si>
    <t>Vintage 2 — Systems Installed FI2027</t>
  </si>
  <si>
    <t>Vintage 5 — Systems Installed FY2030</t>
  </si>
  <si>
    <t>Consolidated Depreciation</t>
  </si>
  <si>
    <t>Total depreciation expense ($)</t>
  </si>
  <si>
    <t>Itc — Direct Pay Cash Credit (From Deployment_Capex)</t>
  </si>
  <si>
    <t>ITC cash credit received in year ($)</t>
  </si>
  <si>
    <t>Revenue Build — By Vintage Cohort</t>
  </si>
  <si>
    <t>Generation (kWh)</t>
  </si>
  <si>
    <t>PPA rate ($/kWh, escalated from COD)</t>
  </si>
  <si>
    <t>PPA revenue ($)</t>
  </si>
  <si>
    <t>Grid services revenue ($)</t>
  </si>
  <si>
    <t>Vintage 2 — Systems Installed Fy2027</t>
  </si>
  <si>
    <t>Vintage 3 — Systems Installed Fy2028</t>
  </si>
  <si>
    <t>Vintage 4 — Systems Installed Fy2029</t>
  </si>
  <si>
    <t>Consolidated Project Revenue</t>
  </si>
  <si>
    <t>Total PPA revenue ($)</t>
  </si>
  <si>
    <t>Total grid services revenue ($)</t>
  </si>
  <si>
    <t>O&amp;M / monitoring cost (% of PPA revenue)</t>
  </si>
  <si>
    <t>SaaS Licensing (Asset-Light, Company-Wide)</t>
  </si>
  <si>
    <t>SaaS licensing revenue ($, = cumulative ARR)</t>
  </si>
  <si>
    <t>SaaS cost of revenue ($)</t>
  </si>
  <si>
    <t>Total Company Revenue</t>
  </si>
  <si>
    <t>Total revenue ($)</t>
  </si>
  <si>
    <t xml:space="preserve">   PPA revenue mix (%)</t>
  </si>
  <si>
    <t xml:space="preserve">   YoY revenue growth (%)</t>
  </si>
  <si>
    <t>n/a</t>
  </si>
  <si>
    <t>Consolidated Income Statement</t>
  </si>
  <si>
    <t xml:space="preserve">$ in whole dollars unless noted </t>
  </si>
  <si>
    <t>($, unless noted)</t>
  </si>
  <si>
    <t>SaaS licensing revenue</t>
  </si>
  <si>
    <t>O&amp;M / monitoring cost</t>
  </si>
  <si>
    <t>SaaS cost of revenue</t>
  </si>
  <si>
    <t>Total cost of revenue</t>
  </si>
  <si>
    <t>R&amp;D / software engineering</t>
  </si>
  <si>
    <t>Sales &amp; business development</t>
  </si>
  <si>
    <t>General &amp; administrative</t>
  </si>
  <si>
    <t>Total operating expenses</t>
  </si>
  <si>
    <t>EBIT (operating income)</t>
  </si>
  <si>
    <t>Interest expense — asset debt</t>
  </si>
  <si>
    <t>Pre-tax income (EBT)</t>
  </si>
  <si>
    <t>NOL carryforward, beginning balance</t>
  </si>
  <si>
    <t>NOL utilized against current-yr income</t>
  </si>
  <si>
    <t>Taxable income (after NOL)</t>
  </si>
  <si>
    <t>NOL carryforward, ending balance</t>
  </si>
  <si>
    <t>Income tax provision</t>
  </si>
  <si>
    <t>Consolidated Balance Sheet</t>
  </si>
  <si>
    <t xml:space="preserve">$ in whole dollars </t>
  </si>
  <si>
    <t>Opening</t>
  </si>
  <si>
    <t xml:space="preserve">Opening Balance </t>
  </si>
  <si>
    <t>Opening cash balance</t>
  </si>
  <si>
    <t>Paid-in capital, prior rounds (SAFE + Seed)</t>
  </si>
  <si>
    <t>Accumulated deficit, entering FY2026</t>
  </si>
  <si>
    <t>Assets</t>
  </si>
  <si>
    <t>Cash &amp; cash equivalents</t>
  </si>
  <si>
    <t>Accounts receivable</t>
  </si>
  <si>
    <t>Change in AR (vs. prior year)</t>
  </si>
  <si>
    <t>Property, plant &amp; equipment, net</t>
  </si>
  <si>
    <t>Total assets</t>
  </si>
  <si>
    <t>Liabilities</t>
  </si>
  <si>
    <t>Accounts payable</t>
  </si>
  <si>
    <t>Change in AP (vs. prior year)</t>
  </si>
  <si>
    <t>Total liabilities</t>
  </si>
  <si>
    <t>Stockholders' Equity</t>
  </si>
  <si>
    <t>Paid-in capital</t>
  </si>
  <si>
    <t>Accumulated deficit / retained earnings</t>
  </si>
  <si>
    <t>Total stockholders' equity</t>
  </si>
  <si>
    <t>Total liabilities &amp; equity</t>
  </si>
  <si>
    <t>Balance Check</t>
  </si>
  <si>
    <t>Consolidated Statement of Cash Flows</t>
  </si>
  <si>
    <t xml:space="preserve">Indirect method | $ in whole dollars </t>
  </si>
  <si>
    <t>Cash Flow From Operating Activities</t>
  </si>
  <si>
    <t>+ Depreciation &amp; amortization</t>
  </si>
  <si>
    <t>(Increase) in accounts receivable</t>
  </si>
  <si>
    <t>Increase in accounts payable</t>
  </si>
  <si>
    <t>Cash flow from operations</t>
  </si>
  <si>
    <t>Cash Flow From Investing Activities</t>
  </si>
  <si>
    <t>Capex — new solar + storage systems</t>
  </si>
  <si>
    <t>+ ITC cash credit received (Direct Pay)</t>
  </si>
  <si>
    <t>Cash flow from investing</t>
  </si>
  <si>
    <t>Cash Flow From Financing Activities</t>
  </si>
  <si>
    <t>Series A proceeds (net)</t>
  </si>
  <si>
    <t>+ Asset debt drawn</t>
  </si>
  <si>
    <t>- Asset debt principal repayment</t>
  </si>
  <si>
    <t>Cash flow from financing</t>
  </si>
  <si>
    <t>Net change in cash</t>
  </si>
  <si>
    <t>Cash, beginning of year</t>
  </si>
  <si>
    <t>Cash, end of year</t>
  </si>
  <si>
    <t>Cap Table &amp; Series A Dilution Waterfall</t>
  </si>
  <si>
    <t>Series A Round Terms</t>
  </si>
  <si>
    <t>Pre-money valuation ($)</t>
  </si>
  <si>
    <t>New investment ($)</t>
  </si>
  <si>
    <t>Post-money valuation ($)</t>
  </si>
  <si>
    <t>New investor ownership (%, of post-money)</t>
  </si>
  <si>
    <t>Target refreshed option pool (% of post-money, FD)</t>
  </si>
  <si>
    <t>Pre- / Post-Series A Ownership Waterfall</t>
  </si>
  <si>
    <t>Holder</t>
  </si>
  <si>
    <t>Instrument</t>
  </si>
  <si>
    <t>Pre-Series A %</t>
  </si>
  <si>
    <t>Dilution factor</t>
  </si>
  <si>
    <t>Post-Series A %</t>
  </si>
  <si>
    <t>Founders (3)</t>
  </si>
  <si>
    <t>Common</t>
  </si>
  <si>
    <t>Employee option pool (pre-round)</t>
  </si>
  <si>
    <t>Options</t>
  </si>
  <si>
    <t>SAFE ($750K @ $6M cap, as-converted)</t>
  </si>
  <si>
    <t>Preferred</t>
  </si>
  <si>
    <t>Total pre-Series A</t>
  </si>
  <si>
    <t>—</t>
  </si>
  <si>
    <t>Total post-Series A</t>
  </si>
  <si>
    <t>Years</t>
  </si>
  <si>
    <t xml:space="preserve"> </t>
  </si>
  <si>
    <t>Profitability and Return Ratios</t>
  </si>
  <si>
    <t>Select Model Start Year &gt;&gt;&gt;</t>
  </si>
  <si>
    <t>Gross margin %</t>
  </si>
  <si>
    <t>EBITDA margin %</t>
  </si>
  <si>
    <t>Net margin %</t>
  </si>
  <si>
    <t>KPI Cards</t>
  </si>
  <si>
    <t>Net Margin (%)</t>
  </si>
  <si>
    <t>EBITDA Margin (%)</t>
  </si>
  <si>
    <t>Ending Cash Balance</t>
  </si>
  <si>
    <t>Cumulative Sys Deployment</t>
  </si>
  <si>
    <t>5-Year Financial Summary</t>
  </si>
  <si>
    <t>Revenue Source</t>
  </si>
  <si>
    <t>Variable</t>
  </si>
  <si>
    <t>Net Income</t>
  </si>
  <si>
    <t>Gross Margin (%)</t>
  </si>
  <si>
    <t>Key Performance Indicators — 5 Year Average (Except Sys. Deployed)</t>
  </si>
  <si>
    <t>Total</t>
  </si>
  <si>
    <t>State corporate tax rate</t>
  </si>
  <si>
    <t>Solistice Renewable Energy</t>
  </si>
  <si>
    <t>This workbook is a 5-year (FY2026–FY2030) integrated 3-statement financial model for Solistice, a hypothetical renewable energy startup that develops and operates distributed solar + battery storage systems sold under long-term Power Purchase Agreements (PPAs), alongside a complementary SaaS energy-management product. The model projects project-level revenue, financing (asset debt, ITC direct pay, equity), depreciation, and corporate overhead through to a fully linked Income Statement, Balance Sheet, and Cash Flow Statement, plus a Cap Table for equity ownership across the Seed / SAFE / Series A capital structure.</t>
  </si>
  <si>
    <t>Straight-line book depreciation for each vintage’s ITC-net basis over its useful life (Assumptions row 56), charged evenly every year the asset is in service — not as a single lump sum. Also tracks the informational tax-basis / IRC §50(c) reduction.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</si>
</sst>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\$#,##0"/>
    <numFmt numFmtId="165" formatCode="0.0%"/>
    <numFmt numFmtId="166" formatCode="\$#,##0,\K"/>
    <numFmt numFmtId="167" formatCode="\+0.0%;\-0.0%"/>
    <numFmt numFmtId="168" formatCode="yyyy"/>
    <numFmt numFmtId="169" formatCode="_(* #,##0_);_(* \(#,##0\);_(* \-??_);_(@_)"/>
    <numFmt numFmtId="170" formatCode="_(* #,##0.0_);_(* \(#,##0.0\);_(* \-??_);_(@_)"/>
    <numFmt numFmtId="171" formatCode="_(* #,##0.00_);_(* \(#,##0.00\);_(* \-??_);_(@_)"/>
    <numFmt numFmtId="172" formatCode="_(* #,##0.000_);_(* \(#,##0.000\);_(* \-??_);_(@_)"/>
    <numFmt numFmtId="173" formatCode="0.00\X"/>
    <numFmt numFmtId="174" formatCode="0.0%;\(0.0%\);\-"/>
    <numFmt numFmtId="175" formatCode="_(* #,##0_);_(* \(#,##0\);_(* &quot;-&quot;??_);_(@_)"/>
  </numFmts>
  <fonts count="49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2"/>
      <color rgb="FFFFFFFF"/>
      <name val="Aptos Narrow"/>
      <family val="2"/>
    </font>
    <font>
      <sz val="14"/>
      <color rgb="FFFFFFFF"/>
      <name val="Aptos Narrow"/>
      <family val="2"/>
    </font>
    <font>
      <i/>
      <sz val="10"/>
      <color rgb="FFFFFFFF"/>
      <name val="Aptos Narrow"/>
      <family val="2"/>
    </font>
    <font>
      <b/>
      <sz val="13"/>
      <color rgb="FFFFFFFF"/>
      <name val="Aptos Narrow"/>
      <family val="2"/>
    </font>
    <font>
      <sz val="11"/>
      <color rgb="FF1A1A1A"/>
      <name val="Aptos Narrow"/>
      <family val="2"/>
    </font>
    <font>
      <b/>
      <sz val="11"/>
      <color rgb="FF0000FF"/>
      <name val="Aptos Narrow"/>
      <family val="2"/>
    </font>
    <font>
      <sz val="10.5"/>
      <color rgb="FF1A1A1A"/>
      <name val="Aptos Narrow"/>
      <family val="2"/>
    </font>
    <font>
      <b/>
      <sz val="11"/>
      <color rgb="FF1A1A1A"/>
      <name val="Aptos Narrow"/>
      <family val="2"/>
    </font>
    <font>
      <b/>
      <sz val="11"/>
      <color rgb="FFCC0000"/>
      <name val="Aptos Narrow"/>
      <family val="2"/>
    </font>
    <font>
      <b/>
      <sz val="11"/>
      <color rgb="FFFFFFFF"/>
      <name val="Aptos Narrow"/>
      <family val="2"/>
    </font>
    <font>
      <b/>
      <sz val="10.5"/>
      <color rgb="FF0F5565"/>
      <name val="Aptos Narrow"/>
      <family val="2"/>
    </font>
    <font>
      <sz val="10"/>
      <color rgb="FF1A1A1A"/>
      <name val="Aptos Narrow"/>
      <family val="2"/>
    </font>
    <font>
      <i/>
      <sz val="10"/>
      <color rgb="FF1A1A1A"/>
      <name val="Aptos Narrow"/>
      <family val="2"/>
    </font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2"/>
      <color theme="0"/>
      <name val="Aptos Narrow"/>
      <family val="2"/>
      <charset val="1"/>
    </font>
    <font>
      <sz val="12"/>
      <color theme="0"/>
      <name val="Aptos Narrow"/>
      <family val="2"/>
      <charset val="1"/>
    </font>
    <font>
      <sz val="12"/>
      <color rgb="FF0000FF"/>
      <name val="Aptos Narrow"/>
      <family val="2"/>
      <charset val="1"/>
    </font>
    <font>
      <b/>
      <sz val="12"/>
      <color rgb="FF0000FF"/>
      <name val="Aptos Narrow"/>
      <family val="2"/>
      <charset val="1"/>
    </font>
    <font>
      <i/>
      <sz val="12"/>
      <color rgb="FF808080"/>
      <name val="Aptos Narrow"/>
      <family val="2"/>
      <charset val="1"/>
    </font>
    <font>
      <i/>
      <sz val="12"/>
      <color theme="1"/>
      <name val="Aptos Narrow"/>
      <family val="2"/>
      <charset val="1"/>
    </font>
    <font>
      <i/>
      <sz val="12"/>
      <color theme="6" tint="-0.249977111117893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2"/>
      <color theme="8" tint="-0.249977111117893"/>
      <name val="Aptos Narrow"/>
      <family val="2"/>
      <charset val="1"/>
    </font>
    <font>
      <sz val="12"/>
      <color theme="8" tint="-0.249977111117893"/>
      <name val="Aptos Narrow"/>
      <family val="2"/>
      <charset val="1"/>
    </font>
    <font>
      <b/>
      <sz val="20"/>
      <color theme="0"/>
      <name val="Aptos Narrow"/>
      <family val="2"/>
    </font>
    <font>
      <sz val="20"/>
      <color theme="0"/>
      <name val="Aptos Narrow"/>
      <family val="2"/>
    </font>
    <font>
      <b/>
      <sz val="22"/>
      <color theme="0"/>
      <name val="Aptos Narrow"/>
      <family val="2"/>
    </font>
    <font>
      <sz val="22"/>
      <color theme="0"/>
      <name val="Aptos Narrow"/>
      <family val="2"/>
    </font>
    <font>
      <sz val="20"/>
      <color theme="1"/>
      <name val="Aptos Narrow"/>
      <family val="2"/>
    </font>
    <font>
      <b/>
      <sz val="20"/>
      <color theme="0"/>
      <name val="Aptos Narrow"/>
      <family val="2"/>
      <charset val="1"/>
    </font>
    <font>
      <b/>
      <sz val="20"/>
      <color theme="1"/>
      <name val="Aptos Narrow"/>
      <family val="2"/>
      <charset val="1"/>
    </font>
    <font>
      <sz val="20"/>
      <color theme="0"/>
      <name val="Aptos Narrow"/>
      <family val="2"/>
      <charset val="1"/>
    </font>
    <font>
      <sz val="20"/>
      <color theme="1"/>
      <name val="Aptos Narrow"/>
      <family val="2"/>
      <charset val="1"/>
    </font>
    <font>
      <b/>
      <sz val="20"/>
      <color theme="1"/>
      <name val="Aptos Narrow"/>
      <family val="2"/>
    </font>
    <font>
      <b/>
      <sz val="11"/>
      <color theme="1"/>
      <name val="Calibri"/>
      <family val="2"/>
    </font>
    <font>
      <b/>
      <sz val="22"/>
      <color rgb="FFFFFFFF"/>
      <name val="Avenir Next LT Pro"/>
      <family val="2"/>
    </font>
    <font>
      <sz val="11"/>
      <color theme="1"/>
      <name val="Avenir Next LT Pro"/>
      <family val="2"/>
    </font>
    <font>
      <sz val="14"/>
      <color rgb="FFFFFFFF"/>
      <name val="Avenir Next LT Pro"/>
      <family val="2"/>
    </font>
    <font>
      <b/>
      <sz val="13"/>
      <color rgb="FFFFFFFF"/>
      <name val="Avenir Next LT Pro"/>
      <family val="2"/>
    </font>
    <font>
      <b/>
      <sz val="10"/>
      <color rgb="FF0F5565"/>
      <name val="Avenir Next LT Pro"/>
      <family val="2"/>
    </font>
    <font>
      <b/>
      <sz val="18"/>
      <color rgb="FF1A1A1A"/>
      <name val="Avenir Next LT Pro"/>
      <family val="2"/>
    </font>
    <font>
      <i/>
      <sz val="9"/>
      <color rgb="FF0F5565"/>
      <name val="Avenir Next LT Pro"/>
      <family val="2"/>
    </font>
    <font>
      <b/>
      <sz val="10.5"/>
      <color rgb="FFFFFFFF"/>
      <name val="Avenir Next LT Pro"/>
      <family val="2"/>
    </font>
    <font>
      <b/>
      <sz val="10.5"/>
      <color rgb="FF1A1A1A"/>
      <name val="Avenir Next LT Pro"/>
      <family val="2"/>
    </font>
    <font>
      <sz val="10.5"/>
      <color rgb="FF1A1A1A"/>
      <name val="Avenir Next LT Pro"/>
      <family val="2"/>
    </font>
  </fonts>
  <fills count="10">
    <fill>
      <patternFill patternType="none"/>
    </fill>
    <fill>
      <patternFill patternType="gray125"/>
    </fill>
    <fill>
      <patternFill patternType="solid">
        <fgColor rgb="FF0F5565"/>
        <bgColor rgb="FF1F4E79"/>
      </patternFill>
    </fill>
    <fill>
      <patternFill patternType="solid">
        <fgColor rgb="FFEB7D23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A3B44"/>
      </patternFill>
    </fill>
    <fill>
      <patternFill patternType="solid">
        <fgColor theme="4" tint="0.39988402966399123"/>
        <bgColor rgb="FFB3B3B3"/>
      </patternFill>
    </fill>
    <fill>
      <patternFill patternType="solid">
        <fgColor rgb="FFD9E5F7"/>
        <bgColor rgb="FFB3B3B3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808080"/>
      </top>
      <bottom/>
      <diagonal/>
    </border>
    <border>
      <left/>
      <right/>
      <top style="double">
        <color auto="1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25" fillId="0" borderId="0" applyFont="0" applyFill="0" applyBorder="0" applyAlignment="0" applyProtection="0"/>
  </cellStyleXfs>
  <cellXfs count="11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3" borderId="0" xfId="0" applyFill="1"/>
    <xf numFmtId="0" fontId="5" fillId="3" borderId="0" xfId="0" applyFont="1" applyFill="1"/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1" fillId="2" borderId="1" xfId="0" applyFont="1" applyFill="1" applyBorder="1"/>
    <xf numFmtId="0" fontId="8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5" fillId="0" borderId="0" xfId="0" applyFont="1"/>
    <xf numFmtId="168" fontId="15" fillId="4" borderId="0" xfId="0" applyNumberFormat="1" applyFont="1" applyFill="1"/>
    <xf numFmtId="0" fontId="16" fillId="0" borderId="0" xfId="0" applyFont="1"/>
    <xf numFmtId="0" fontId="17" fillId="5" borderId="0" xfId="0" applyFont="1" applyFill="1"/>
    <xf numFmtId="0" fontId="18" fillId="5" borderId="0" xfId="0" applyFont="1" applyFill="1"/>
    <xf numFmtId="168" fontId="18" fillId="5" borderId="2" xfId="0" applyNumberFormat="1" applyFont="1" applyFill="1" applyBorder="1"/>
    <xf numFmtId="0" fontId="17" fillId="6" borderId="0" xfId="0" applyFont="1" applyFill="1"/>
    <xf numFmtId="169" fontId="19" fillId="0" borderId="0" xfId="0" applyNumberFormat="1" applyFont="1"/>
    <xf numFmtId="169" fontId="15" fillId="0" borderId="0" xfId="0" applyNumberFormat="1" applyFont="1"/>
    <xf numFmtId="165" fontId="19" fillId="0" borderId="0" xfId="0" applyNumberFormat="1" applyFont="1"/>
    <xf numFmtId="165" fontId="15" fillId="0" borderId="0" xfId="0" applyNumberFormat="1" applyFont="1"/>
    <xf numFmtId="170" fontId="19" fillId="0" borderId="0" xfId="0" applyNumberFormat="1" applyFont="1"/>
    <xf numFmtId="170" fontId="15" fillId="0" borderId="0" xfId="0" applyNumberFormat="1" applyFont="1"/>
    <xf numFmtId="9" fontId="19" fillId="0" borderId="0" xfId="0" applyNumberFormat="1" applyFont="1"/>
    <xf numFmtId="9" fontId="15" fillId="0" borderId="0" xfId="0" applyNumberFormat="1" applyFont="1"/>
    <xf numFmtId="169" fontId="20" fillId="0" borderId="0" xfId="0" applyNumberFormat="1" applyFont="1"/>
    <xf numFmtId="169" fontId="16" fillId="0" borderId="0" xfId="0" applyNumberFormat="1" applyFont="1"/>
    <xf numFmtId="0" fontId="18" fillId="0" borderId="0" xfId="0" applyFont="1"/>
    <xf numFmtId="169" fontId="18" fillId="6" borderId="0" xfId="0" applyNumberFormat="1" applyFont="1" applyFill="1"/>
    <xf numFmtId="0" fontId="16" fillId="0" borderId="3" xfId="0" applyFont="1" applyBorder="1"/>
    <xf numFmtId="169" fontId="16" fillId="0" borderId="3" xfId="0" applyNumberFormat="1" applyFont="1" applyBorder="1"/>
    <xf numFmtId="171" fontId="15" fillId="0" borderId="0" xfId="0" applyNumberFormat="1" applyFont="1"/>
    <xf numFmtId="172" fontId="15" fillId="0" borderId="0" xfId="0" applyNumberFormat="1" applyFont="1"/>
    <xf numFmtId="0" fontId="21" fillId="0" borderId="0" xfId="0" applyFont="1"/>
    <xf numFmtId="0" fontId="16" fillId="0" borderId="4" xfId="0" applyFont="1" applyBorder="1"/>
    <xf numFmtId="169" fontId="16" fillId="0" borderId="4" xfId="0" applyNumberFormat="1" applyFont="1" applyBorder="1"/>
    <xf numFmtId="0" fontId="16" fillId="0" borderId="5" xfId="0" applyFont="1" applyBorder="1"/>
    <xf numFmtId="169" fontId="16" fillId="0" borderId="5" xfId="0" applyNumberFormat="1" applyFont="1" applyBorder="1"/>
    <xf numFmtId="0" fontId="22" fillId="0" borderId="0" xfId="0" applyFont="1"/>
    <xf numFmtId="165" fontId="22" fillId="0" borderId="0" xfId="0" applyNumberFormat="1" applyFont="1"/>
    <xf numFmtId="0" fontId="16" fillId="0" borderId="6" xfId="0" applyFont="1" applyBorder="1"/>
    <xf numFmtId="169" fontId="16" fillId="0" borderId="6" xfId="0" applyNumberFormat="1" applyFont="1" applyBorder="1"/>
    <xf numFmtId="9" fontId="22" fillId="0" borderId="0" xfId="0" applyNumberFormat="1" applyFont="1"/>
    <xf numFmtId="0" fontId="23" fillId="0" borderId="0" xfId="0" applyFont="1"/>
    <xf numFmtId="169" fontId="23" fillId="0" borderId="0" xfId="0" applyNumberFormat="1" applyFont="1"/>
    <xf numFmtId="169" fontId="22" fillId="0" borderId="0" xfId="0" applyNumberFormat="1" applyFont="1"/>
    <xf numFmtId="0" fontId="16" fillId="0" borderId="7" xfId="0" applyFont="1" applyBorder="1"/>
    <xf numFmtId="173" fontId="15" fillId="0" borderId="0" xfId="0" applyNumberFormat="1" applyFont="1"/>
    <xf numFmtId="174" fontId="24" fillId="0" borderId="8" xfId="0" applyNumberFormat="1" applyFont="1" applyBorder="1"/>
    <xf numFmtId="174" fontId="24" fillId="0" borderId="9" xfId="0" applyNumberFormat="1" applyFont="1" applyBorder="1"/>
    <xf numFmtId="0" fontId="17" fillId="5" borderId="0" xfId="0" applyFont="1" applyFill="1" applyAlignment="1">
      <alignment horizontal="center" vertical="center"/>
    </xf>
    <xf numFmtId="168" fontId="15" fillId="0" borderId="0" xfId="0" applyNumberFormat="1" applyFont="1"/>
    <xf numFmtId="0" fontId="26" fillId="7" borderId="0" xfId="0" applyFont="1" applyFill="1"/>
    <xf numFmtId="169" fontId="27" fillId="7" borderId="0" xfId="0" applyNumberFormat="1" applyFont="1" applyFill="1"/>
    <xf numFmtId="0" fontId="15" fillId="0" borderId="0" xfId="0" applyFont="1" applyAlignment="1">
      <alignment horizontal="right"/>
    </xf>
    <xf numFmtId="0" fontId="28" fillId="8" borderId="0" xfId="0" applyFont="1" applyFill="1"/>
    <xf numFmtId="0" fontId="29" fillId="8" borderId="0" xfId="0" applyFont="1" applyFill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5" borderId="0" xfId="0" applyFont="1" applyFill="1"/>
    <xf numFmtId="0" fontId="33" fillId="0" borderId="0" xfId="0" applyFont="1"/>
    <xf numFmtId="0" fontId="34" fillId="0" borderId="0" xfId="0" applyFont="1"/>
    <xf numFmtId="0" fontId="35" fillId="5" borderId="0" xfId="0" applyFont="1" applyFill="1"/>
    <xf numFmtId="0" fontId="36" fillId="0" borderId="0" xfId="0" applyFont="1"/>
    <xf numFmtId="0" fontId="37" fillId="0" borderId="0" xfId="0" applyFont="1"/>
    <xf numFmtId="0" fontId="28" fillId="5" borderId="0" xfId="0" applyFont="1" applyFill="1"/>
    <xf numFmtId="9" fontId="0" fillId="0" borderId="0" xfId="0" applyNumberFormat="1"/>
    <xf numFmtId="165" fontId="0" fillId="0" borderId="0" xfId="0" applyNumberFormat="1"/>
    <xf numFmtId="175" fontId="0" fillId="0" borderId="0" xfId="1" applyNumberFormat="1" applyFont="1"/>
    <xf numFmtId="0" fontId="38" fillId="0" borderId="0" xfId="0" applyFont="1"/>
    <xf numFmtId="168" fontId="15" fillId="0" borderId="2" xfId="0" applyNumberFormat="1" applyFont="1" applyBorder="1"/>
    <xf numFmtId="168" fontId="0" fillId="0" borderId="0" xfId="0" applyNumberFormat="1"/>
    <xf numFmtId="0" fontId="39" fillId="2" borderId="0" xfId="0" applyFont="1" applyFill="1"/>
    <xf numFmtId="0" fontId="40" fillId="2" borderId="0" xfId="0" applyFont="1" applyFill="1"/>
    <xf numFmtId="0" fontId="40" fillId="0" borderId="0" xfId="0" applyFont="1"/>
    <xf numFmtId="0" fontId="41" fillId="2" borderId="0" xfId="0" applyFont="1" applyFill="1"/>
    <xf numFmtId="0" fontId="42" fillId="3" borderId="0" xfId="0" applyFont="1" applyFill="1"/>
    <xf numFmtId="0" fontId="40" fillId="3" borderId="0" xfId="0" applyFont="1" applyFill="1"/>
    <xf numFmtId="0" fontId="43" fillId="0" borderId="0" xfId="0" applyFont="1" applyAlignment="1">
      <alignment horizontal="center" vertical="center" wrapText="1"/>
    </xf>
    <xf numFmtId="166" fontId="44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2" borderId="1" xfId="0" applyFont="1" applyFill="1" applyBorder="1"/>
    <xf numFmtId="168" fontId="46" fillId="2" borderId="1" xfId="0" applyNumberFormat="1" applyFont="1" applyFill="1" applyBorder="1" applyAlignment="1">
      <alignment horizontal="center"/>
    </xf>
    <xf numFmtId="168" fontId="46" fillId="2" borderId="10" xfId="0" applyNumberFormat="1" applyFont="1" applyFill="1" applyBorder="1" applyAlignment="1">
      <alignment horizontal="center"/>
    </xf>
    <xf numFmtId="168" fontId="46" fillId="0" borderId="0" xfId="0" applyNumberFormat="1" applyFont="1" applyAlignment="1">
      <alignment horizontal="center"/>
    </xf>
    <xf numFmtId="164" fontId="47" fillId="0" borderId="0" xfId="0" applyNumberFormat="1" applyFont="1" applyAlignment="1">
      <alignment horizontal="right"/>
    </xf>
    <xf numFmtId="165" fontId="48" fillId="0" borderId="0" xfId="0" applyNumberFormat="1" applyFont="1" applyAlignment="1">
      <alignment horizontal="right"/>
    </xf>
    <xf numFmtId="164" fontId="48" fillId="0" borderId="0" xfId="0" applyNumberFormat="1" applyFont="1" applyAlignment="1">
      <alignment horizontal="right"/>
    </xf>
    <xf numFmtId="3" fontId="48" fillId="0" borderId="0" xfId="0" applyNumberFormat="1" applyFont="1" applyAlignment="1">
      <alignment horizontal="right"/>
    </xf>
    <xf numFmtId="164" fontId="48" fillId="0" borderId="1" xfId="0" applyNumberFormat="1" applyFont="1" applyBorder="1" applyAlignment="1">
      <alignment horizontal="right"/>
    </xf>
    <xf numFmtId="164" fontId="48" fillId="0" borderId="10" xfId="0" applyNumberFormat="1" applyFont="1" applyBorder="1" applyAlignment="1">
      <alignment horizontal="right"/>
    </xf>
    <xf numFmtId="165" fontId="48" fillId="0" borderId="1" xfId="0" applyNumberFormat="1" applyFont="1" applyBorder="1" applyAlignment="1">
      <alignment horizontal="right"/>
    </xf>
    <xf numFmtId="165" fontId="48" fillId="0" borderId="10" xfId="0" applyNumberFormat="1" applyFont="1" applyBorder="1" applyAlignment="1">
      <alignment horizontal="right"/>
    </xf>
    <xf numFmtId="3" fontId="48" fillId="0" borderId="1" xfId="0" applyNumberFormat="1" applyFont="1" applyBorder="1" applyAlignment="1">
      <alignment horizontal="right"/>
    </xf>
    <xf numFmtId="3" fontId="48" fillId="0" borderId="10" xfId="0" applyNumberFormat="1" applyFont="1" applyBorder="1" applyAlignment="1">
      <alignment horizontal="right"/>
    </xf>
    <xf numFmtId="0" fontId="48" fillId="9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F5565"/>
      <rgbColor rgb="FFBFBFBF"/>
      <rgbColor rgb="FF808080"/>
      <rgbColor rgb="FF8FAADC"/>
      <rgbColor rgb="FF993366"/>
      <rgbColor rgb="FFF7F7F7"/>
      <rgbColor rgb="FFDCE6E8"/>
      <rgbColor rgb="FF660066"/>
      <rgbColor rgb="FFF5A65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B7D23"/>
      <rgbColor rgb="FF7C7C7C"/>
      <rgbColor rgb="FF6E8B90"/>
      <rgbColor rgb="FF0A3B44"/>
      <rgbColor rgb="FF00B050"/>
      <rgbColor rgb="FF003300"/>
      <rgbColor rgb="FF333300"/>
      <rgbColor rgb="FF993300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9E5A"/>
      <color rgb="FF5ECEE8"/>
      <color rgb="FF1889A4"/>
      <color rgb="FF0F5565"/>
      <color rgb="FF0A3B44"/>
      <color rgb="FFD9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600" b="1"/>
              <a:t>EBITDA Vs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Dash_Source!$B$15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0F5565"/>
            </a:solidFill>
            <a:ln>
              <a:noFill/>
            </a:ln>
            <a:effectLst/>
          </c:spPr>
          <c:invertIfNegative val="0"/>
          <c:cat>
            <c:numRef>
              <c:f>Dash_Source!$C$14:$G$14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Dash_Source!$C$15:$G$15</c:f>
              <c:numCache>
                <c:formatCode>_(* #,##0_);_(* \(#,##0\);_(* "-"??_);_(@_)</c:formatCode>
                <c:ptCount val="5"/>
                <c:pt idx="0">
                  <c:v>927000</c:v>
                </c:pt>
                <c:pt idx="1">
                  <c:v>2439796</c:v>
                </c:pt>
                <c:pt idx="2">
                  <c:v>4797560.9298749994</c:v>
                </c:pt>
                <c:pt idx="3">
                  <c:v>7372380.615465641</c:v>
                </c:pt>
                <c:pt idx="4">
                  <c:v>10234744.577610129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3-4C7B-85AB-65D33D2DDE86}"/>
            </c:ext>
          </c:extLst>
        </c:ser>
        <c:ser>
          <c:idx val="1"/>
          <c:order val="1"/>
          <c:tx>
            <c:strRef>
              <c:f>Dash_Source!$B$16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Dash_Source!$C$14:$G$14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Dash_Source!$C$16:$G$16</c:f>
              <c:numCache>
                <c:formatCode>_(* #,##0_);_(* \(#,##0\);_(* "-"??_);_(@_)</c:formatCode>
                <c:ptCount val="5"/>
                <c:pt idx="0">
                  <c:v>48712.98</c:v>
                </c:pt>
                <c:pt idx="1">
                  <c:v>548169.14807640039</c:v>
                </c:pt>
                <c:pt idx="2">
                  <c:v>1203236.2859796607</c:v>
                </c:pt>
                <c:pt idx="3">
                  <c:v>1586955.6874116377</c:v>
                </c:pt>
                <c:pt idx="4">
                  <c:v>1214294.0735440874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D3-4C7B-85AB-65D33D2DD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5"/>
        <c:overlap val="-27"/>
        <c:axId val="947143104"/>
        <c:axId val="947143808"/>
      </c:barChart>
      <c:dateAx>
        <c:axId val="94714310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7143808"/>
        <c:crosses val="autoZero"/>
        <c:auto val="1"/>
        <c:lblOffset val="100"/>
        <c:baseTimeUnit val="years"/>
      </c:dateAx>
      <c:valAx>
        <c:axId val="9471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\ &quot;M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714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600" b="1"/>
              <a:t>Cumulative Capex Funding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Dash_Source!$C$24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F556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15-4613-9546-E1C227A5DB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15-4613-9546-E1C227A5DB79}"/>
              </c:ext>
            </c:extLst>
          </c:dPt>
          <c:dPt>
            <c:idx val="2"/>
            <c:bubble3D val="0"/>
            <c:spPr>
              <a:solidFill>
                <a:srgbClr val="0A3B4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15-4613-9546-E1C227A5DB79}"/>
              </c:ext>
            </c:extLst>
          </c:dPt>
          <c:dLbls>
            <c:numFmt formatCode="0.0,,\ &quot;Mn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Dash_Source!$B$25:$B$27</c:f>
              <c:strCache>
                <c:ptCount val="3"/>
                <c:pt idx="0">
                  <c:v>Asset debt draw</c:v>
                </c:pt>
                <c:pt idx="1">
                  <c:v>Equity / cash funded</c:v>
                </c:pt>
                <c:pt idx="2">
                  <c:v>ITC cash credit (Direct Pay)</c:v>
                </c:pt>
              </c:strCache>
            </c:strRef>
          </c:cat>
          <c:val>
            <c:numRef>
              <c:f>Dash_Source!$C$25:$C$27</c:f>
              <c:numCache>
                <c:formatCode>_(* #,##0_);_(* \(#,##0\);_(* "-"??_);_(@_)</c:formatCode>
                <c:ptCount val="3"/>
                <c:pt idx="0">
                  <c:v>44850000</c:v>
                </c:pt>
                <c:pt idx="1">
                  <c:v>29900000</c:v>
                </c:pt>
                <c:pt idx="2">
                  <c:v>29900000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5-4613-9546-E1C227A5D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1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Mix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Dash_Source!$B$10</c:f>
              <c:strCache>
                <c:ptCount val="1"/>
                <c:pt idx="0">
                  <c:v>PPA revenue</c:v>
                </c:pt>
              </c:strCache>
            </c:strRef>
          </c:tx>
          <c:spPr>
            <a:solidFill>
              <a:srgbClr val="0F5565"/>
            </a:solidFill>
            <a:ln>
              <a:noFill/>
            </a:ln>
            <a:effectLst/>
          </c:spPr>
          <c:invertIfNegative val="0"/>
          <c:dLbls>
            <c:numFmt formatCode="0.0,,\ &quot;Mn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Dash_Source!$C$9:$G$9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Dash_Source!$C$10:$G$10</c:f>
              <c:numCache>
                <c:formatCode>_(* #,##0_);_(* \(#,##0\);_(* "-"??_);_(@_)</c:formatCode>
                <c:ptCount val="5"/>
                <c:pt idx="0">
                  <c:v>1190000</c:v>
                </c:pt>
                <c:pt idx="1">
                  <c:v>2403651.25</c:v>
                </c:pt>
                <c:pt idx="2">
                  <c:v>4236423.8185937498</c:v>
                </c:pt>
                <c:pt idx="3">
                  <c:v>6105622.7419883003</c:v>
                </c:pt>
                <c:pt idx="4">
                  <c:v>8011971.9939853176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7-4839-A847-C03ECB389FFD}"/>
            </c:ext>
          </c:extLst>
        </c:ser>
        <c:ser>
          <c:idx val="1"/>
          <c:order val="1"/>
          <c:tx>
            <c:strRef>
              <c:f>Dash_Source!$B$11</c:f>
              <c:strCache>
                <c:ptCount val="1"/>
                <c:pt idx="0">
                  <c:v>Grid services / demand response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,,\ &quot;Mn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Dash_Source!$C$9:$G$9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Dash_Source!$C$11:$G$11</c:f>
              <c:numCache>
                <c:formatCode>_(* #,##0_);_(* \(#,##0\);_(* "-"??_);_(@_)</c:formatCode>
                <c:ptCount val="5"/>
                <c:pt idx="0">
                  <c:v>500000</c:v>
                </c:pt>
                <c:pt idx="1">
                  <c:v>1012500</c:v>
                </c:pt>
                <c:pt idx="2">
                  <c:v>1787812.5</c:v>
                </c:pt>
                <c:pt idx="3">
                  <c:v>2582507.8125</c:v>
                </c:pt>
                <c:pt idx="4">
                  <c:v>3397070.5078124995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17-4839-A847-C03ECB389FFD}"/>
            </c:ext>
          </c:extLst>
        </c:ser>
        <c:ser>
          <c:idx val="2"/>
          <c:order val="2"/>
          <c:tx>
            <c:strRef>
              <c:f>Dash_Source!$B$12</c:f>
              <c:strCache>
                <c:ptCount val="1"/>
                <c:pt idx="0">
                  <c:v>SaaS licensing 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,,\ &quot;Mn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Dash_Source!$C$9:$G$9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Dash_Source!$C$12:$G$12</c:f>
              <c:numCache>
                <c:formatCode>_(* #,##0_);_(* \(#,##0\);_(* "-"??_);_(@_)</c:formatCode>
                <c:ptCount val="5"/>
                <c:pt idx="0">
                  <c:v>#N/A</c:v>
                </c:pt>
                <c:pt idx="1">
                  <c:v>150000</c:v>
                </c:pt>
                <c:pt idx="2">
                  <c:v>450000</c:v>
                </c:pt>
                <c:pt idx="3">
                  <c:v>1000000</c:v>
                </c:pt>
                <c:pt idx="4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17-4839-A847-C03ECB389F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7173728"/>
        <c:axId val="947168800"/>
      </c:barChart>
      <c:dateAx>
        <c:axId val="947173728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7168800"/>
        <c:crosses val="autoZero"/>
        <c:auto val="1"/>
        <c:lblOffset val="100"/>
        <c:baseTimeUnit val="years"/>
      </c:dateAx>
      <c:valAx>
        <c:axId val="947168800"/>
        <c:scaling>
          <c:orientation val="minMax"/>
        </c:scaling>
        <c:delete val="1"/>
        <c:axPos val="l"/>
        <c:numFmt formatCode="\$#,##0" sourceLinked="0"/>
        <c:majorTickMark val="none"/>
        <c:minorTickMark val="none"/>
        <c:tickLblPos val="nextTo"/>
        <c:crossAx val="94717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r>
              <a:rPr lang="en-US" sz="1600" b="1"/>
              <a:t>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Dash_Source!$B$20</c:f>
              <c:strCache>
                <c:ptCount val="1"/>
                <c:pt idx="0">
                  <c:v>Gross Margin (%)</c:v>
                </c:pt>
              </c:strCache>
            </c:strRef>
          </c:tx>
          <c:spPr>
            <a:ln w="28575" cap="rnd">
              <a:solidFill>
                <a:srgbClr val="0A3B4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A3B44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Dash_Source!$C$19:$G$19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Dash_Source!$C$20:$G$20</c:f>
              <c:numCache>
                <c:formatCode>0.0%</c:formatCode>
                <c:ptCount val="5"/>
                <c:pt idx="0">
                  <c:v>0.89437869822485205</c:v>
                </c:pt>
                <c:pt idx="1">
                  <c:v>0.88838171474078675</c:v>
                </c:pt>
                <c:pt idx="2">
                  <c:v>0.88447076442962991</c:v>
                </c:pt>
                <c:pt idx="3">
                  <c:v>0.87966270636617971</c:v>
                </c:pt>
                <c:pt idx="4">
                  <c:v>0.87401078636037932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8C5-BA8C-6E482A53E3EE}"/>
            </c:ext>
          </c:extLst>
        </c:ser>
        <c:ser>
          <c:idx val="1"/>
          <c:order val="1"/>
          <c:tx>
            <c:strRef>
              <c:f>Dash_Source!$B$21</c:f>
              <c:strCache>
                <c:ptCount val="1"/>
                <c:pt idx="0">
                  <c:v>EBITDA Margin (%)</c:v>
                </c:pt>
              </c:strCache>
            </c:strRef>
          </c:tx>
          <c:spPr>
            <a:ln w="28575" cap="rnd">
              <a:solidFill>
                <a:srgbClr val="1889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889A4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Dash_Source!$C$19:$G$19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Dash_Source!$C$21:$G$21</c:f>
              <c:numCache>
                <c:formatCode>0.0%</c:formatCode>
                <c:ptCount val="5"/>
                <c:pt idx="0">
                  <c:v>0.54852071005917158</c:v>
                </c:pt>
                <c:pt idx="1">
                  <c:v>0.68415381989196333</c:v>
                </c:pt>
                <c:pt idx="2">
                  <c:v>0.74102344952972987</c:v>
                </c:pt>
                <c:pt idx="3">
                  <c:v>0.76097040331998589</c:v>
                </c:pt>
                <c:pt idx="4">
                  <c:v>0.76900682947158638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5-48C5-BA8C-6E482A53E3EE}"/>
            </c:ext>
          </c:extLst>
        </c:ser>
        <c:ser>
          <c:idx val="2"/>
          <c:order val="2"/>
          <c:tx>
            <c:strRef>
              <c:f>Dash_Source!$B$22</c:f>
              <c:strCache>
                <c:ptCount val="1"/>
                <c:pt idx="0">
                  <c:v>Net Margin (%)</c:v>
                </c:pt>
              </c:strCache>
            </c:strRef>
          </c:tx>
          <c:spPr>
            <a:ln w="28575" cap="rnd">
              <a:solidFill>
                <a:srgbClr val="5ECEE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ECEE8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Dash_Source!$C$19:$G$19</c:f>
              <c:numCache>
                <c:formatCode>yyyy</c:formatCode>
                <c:ptCount val="5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</c:numCache>
            </c:numRef>
          </c:cat>
          <c:val>
            <c:numRef>
              <c:f>Dash_Source!$C$22:$G$22</c:f>
              <c:numCache>
                <c:formatCode>0.0%</c:formatCode>
                <c:ptCount val="5"/>
                <c:pt idx="0">
                  <c:v>2.8824248520710062E-2</c:v>
                </c:pt>
                <c:pt idx="1">
                  <c:v>0.15371449768890211</c:v>
                </c:pt>
                <c:pt idx="2">
                  <c:v>0.18584991754533486</c:v>
                </c:pt>
                <c:pt idx="3">
                  <c:v>0.16380411870858155</c:v>
                </c:pt>
                <c:pt idx="4">
                  <c:v>9.1238274532526101E-2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5-48C5-BA8C-6E482A53E3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8764672"/>
        <c:axId val="1008766080"/>
      </c:lineChart>
      <c:dateAx>
        <c:axId val="100876467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08766080"/>
        <c:crosses val="autoZero"/>
        <c:auto val="1"/>
        <c:lblOffset val="100"/>
        <c:baseTimeUnit val="years"/>
      </c:dateAx>
      <c:valAx>
        <c:axId val="100876608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008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venir Next LT Pro" panose="020B05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46041</xdr:colOff>
      <xdr:row>7</xdr:row>
      <xdr:rowOff>69942</xdr:rowOff>
    </xdr:from>
    <xdr:to>
      <xdr:col>1</xdr:col>
      <xdr:colOff>2332041</xdr:colOff>
      <xdr:row>13</xdr:row>
      <xdr:rowOff>33624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DA94154-0B0C-255A-D400-D1D5A7C8F64C}"/>
            </a:ext>
          </a:extLst>
        </xdr:cNvPr>
        <xdr:cNvGrpSpPr/>
      </xdr:nvGrpSpPr>
      <xdr:grpSpPr>
        <a:xfrm>
          <a:off x="223841" y="1403442"/>
          <a:ext cx="2286000" cy="1424182"/>
          <a:chOff x="211693" y="1353746"/>
          <a:chExt cx="2286000" cy="1371726"/>
        </a:xfrm>
      </xdr:grpSpPr>
      <xdr:sp macro="" textlink="Dash_Source!C3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6FD2313C-CFD8-F3BE-FAFC-36692D44833D}"/>
              </a:ext>
            </a:extLst>
          </xdr:cNvPr>
          <xdr:cNvSpPr/>
        </xdr:nvSpPr>
        <xdr:spPr>
          <a:xfrm>
            <a:off x="211693" y="1902512"/>
            <a:ext cx="2286000" cy="822960"/>
          </a:xfrm>
          <a:prstGeom prst="roundRect">
            <a:avLst>
              <a:gd name="adj" fmla="val 11262"/>
            </a:avLst>
          </a:prstGeom>
          <a:gradFill>
            <a:gsLst>
              <a:gs pos="30000">
                <a:schemeClr val="accent2"/>
              </a:gs>
              <a:gs pos="61000">
                <a:schemeClr val="accent2">
                  <a:lumMod val="75000"/>
                </a:schemeClr>
              </a:gs>
              <a:gs pos="81000">
                <a:schemeClr val="accent2"/>
              </a:gs>
            </a:gsLst>
            <a:lin ang="72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EC21028-989B-4083-90FE-CA80CF8FEBCE}" type="TxLink">
              <a:rPr lang="en-US" sz="1600" b="1" i="0" u="none" strike="noStrike">
                <a:solidFill>
                  <a:schemeClr val="bg1"/>
                </a:solidFill>
                <a:latin typeface="Avenir Next LT Pro" panose="020B0504020202020204" pitchFamily="34" charset="0"/>
                <a:ea typeface="Calibri"/>
                <a:cs typeface="Calibri"/>
              </a:rPr>
              <a:pPr algn="ctr"/>
              <a:t> 34,727,561 </a:t>
            </a:fld>
            <a:endParaRPr lang="en-US" sz="1600" b="1">
              <a:solidFill>
                <a:schemeClr val="bg1"/>
              </a:solidFill>
              <a:latin typeface="Avenir Next LT Pro" panose="020B05040202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97F144F-D305-9377-D118-D96702AAA442}"/>
              </a:ext>
            </a:extLst>
          </xdr:cNvPr>
          <xdr:cNvSpPr txBox="1"/>
        </xdr:nvSpPr>
        <xdr:spPr>
          <a:xfrm>
            <a:off x="417148" y="1353746"/>
            <a:ext cx="1875091" cy="380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atin typeface="Avenir Next LT Pro" panose="020B0504020202020204" pitchFamily="34" charset="0"/>
              </a:rPr>
              <a:t>Total Revenue</a:t>
            </a:r>
          </a:p>
        </xdr:txBody>
      </xdr:sp>
    </xdr:grpSp>
    <xdr:clientData/>
  </xdr:twoCellAnchor>
  <xdr:twoCellAnchor>
    <xdr:from>
      <xdr:col>2</xdr:col>
      <xdr:colOff>483585</xdr:colOff>
      <xdr:row>7</xdr:row>
      <xdr:rowOff>116509</xdr:rowOff>
    </xdr:from>
    <xdr:to>
      <xdr:col>4</xdr:col>
      <xdr:colOff>588498</xdr:colOff>
      <xdr:row>13</xdr:row>
      <xdr:rowOff>33624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CF8466E5-C5BC-93B5-C1D6-1C8CC709166F}"/>
            </a:ext>
          </a:extLst>
        </xdr:cNvPr>
        <xdr:cNvGrpSpPr/>
      </xdr:nvGrpSpPr>
      <xdr:grpSpPr>
        <a:xfrm>
          <a:off x="3036285" y="1450009"/>
          <a:ext cx="2289313" cy="1377615"/>
          <a:chOff x="3069249" y="1400313"/>
          <a:chExt cx="2286000" cy="1325159"/>
        </a:xfrm>
      </xdr:grpSpPr>
      <xdr:sp macro="" textlink="Dash_Source!C4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5A715CDC-49A1-4CFE-86BC-8EF6BEC915D3}"/>
              </a:ext>
            </a:extLst>
          </xdr:cNvPr>
          <xdr:cNvSpPr/>
        </xdr:nvSpPr>
        <xdr:spPr>
          <a:xfrm>
            <a:off x="3069249" y="1902512"/>
            <a:ext cx="2286000" cy="822960"/>
          </a:xfrm>
          <a:prstGeom prst="roundRect">
            <a:avLst>
              <a:gd name="adj" fmla="val 11262"/>
            </a:avLst>
          </a:prstGeom>
          <a:gradFill>
            <a:gsLst>
              <a:gs pos="30000">
                <a:schemeClr val="accent2"/>
              </a:gs>
              <a:gs pos="61000">
                <a:schemeClr val="accent2">
                  <a:lumMod val="75000"/>
                </a:schemeClr>
              </a:gs>
              <a:gs pos="81000">
                <a:schemeClr val="accent2"/>
              </a:gs>
            </a:gsLst>
            <a:lin ang="72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60CC26D-22F5-4BB0-8734-C4942482755F}" type="TxLink">
              <a:rPr lang="en-US" sz="1600" b="1" i="0" u="none" strike="noStrike">
                <a:solidFill>
                  <a:schemeClr val="bg1"/>
                </a:solidFill>
                <a:latin typeface="Avenir Next LT Pro" panose="020B0504020202020204" pitchFamily="34" charset="0"/>
                <a:ea typeface="Calibri"/>
                <a:cs typeface="Calibri"/>
              </a:rPr>
              <a:pPr algn="ctr"/>
              <a:t>70.1%</a:t>
            </a:fld>
            <a:endParaRPr lang="en-US" sz="1600" b="1">
              <a:solidFill>
                <a:schemeClr val="bg1"/>
              </a:solidFill>
              <a:latin typeface="Avenir Next LT Pro" panose="020B050402020202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A9E68627-C78E-46F8-9248-B799FBED5645}"/>
              </a:ext>
            </a:extLst>
          </xdr:cNvPr>
          <xdr:cNvSpPr txBox="1"/>
        </xdr:nvSpPr>
        <xdr:spPr>
          <a:xfrm>
            <a:off x="3274704" y="1400313"/>
            <a:ext cx="1875091" cy="380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atin typeface="Avenir Next LT Pro" panose="020B0504020202020204" pitchFamily="34" charset="0"/>
              </a:rPr>
              <a:t>EBITDA Margin</a:t>
            </a:r>
          </a:p>
        </xdr:txBody>
      </xdr:sp>
    </xdr:grpSp>
    <xdr:clientData/>
  </xdr:twoCellAnchor>
  <xdr:twoCellAnchor>
    <xdr:from>
      <xdr:col>5</xdr:col>
      <xdr:colOff>23847</xdr:colOff>
      <xdr:row>7</xdr:row>
      <xdr:rowOff>120743</xdr:rowOff>
    </xdr:from>
    <xdr:to>
      <xdr:col>7</xdr:col>
      <xdr:colOff>128760</xdr:colOff>
      <xdr:row>13</xdr:row>
      <xdr:rowOff>33624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1A2B0852-A322-F602-4FBB-2987B9EDCF6F}"/>
            </a:ext>
          </a:extLst>
        </xdr:cNvPr>
        <xdr:cNvGrpSpPr/>
      </xdr:nvGrpSpPr>
      <xdr:grpSpPr>
        <a:xfrm>
          <a:off x="5853147" y="1454243"/>
          <a:ext cx="2289313" cy="1373381"/>
          <a:chOff x="5870910" y="1404547"/>
          <a:chExt cx="2286000" cy="1320925"/>
        </a:xfrm>
      </xdr:grpSpPr>
      <xdr:sp macro="" textlink="Dash_Source!C5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92139C9B-E15F-42B7-93B3-E97AAD9F2A8C}"/>
              </a:ext>
            </a:extLst>
          </xdr:cNvPr>
          <xdr:cNvSpPr/>
        </xdr:nvSpPr>
        <xdr:spPr>
          <a:xfrm>
            <a:off x="5870910" y="1902512"/>
            <a:ext cx="2286000" cy="822960"/>
          </a:xfrm>
          <a:prstGeom prst="roundRect">
            <a:avLst>
              <a:gd name="adj" fmla="val 11262"/>
            </a:avLst>
          </a:prstGeom>
          <a:gradFill>
            <a:gsLst>
              <a:gs pos="30000">
                <a:schemeClr val="accent2"/>
              </a:gs>
              <a:gs pos="61000">
                <a:schemeClr val="accent2">
                  <a:lumMod val="75000"/>
                </a:schemeClr>
              </a:gs>
              <a:gs pos="81000">
                <a:schemeClr val="accent2"/>
              </a:gs>
            </a:gsLst>
            <a:lin ang="72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5ED6434-EFCE-4D2F-8E17-354A64CB5EAE}" type="TxLink">
              <a:rPr lang="en-US" sz="1400" b="1" i="0" u="none" strike="noStrike">
                <a:solidFill>
                  <a:schemeClr val="bg1"/>
                </a:solidFill>
                <a:latin typeface="Avenir Next LT Pro" panose="020B0504020202020204" pitchFamily="34" charset="0"/>
                <a:ea typeface="Calibri"/>
                <a:cs typeface="Calibri"/>
              </a:rPr>
              <a:pPr algn="ctr"/>
              <a:t>12%</a:t>
            </a:fld>
            <a:endParaRPr lang="en-US" sz="1400" b="1">
              <a:solidFill>
                <a:schemeClr val="bg1"/>
              </a:solidFill>
              <a:latin typeface="Avenir Next LT Pro" panose="020B0504020202020204" pitchFamily="34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39930A3-4E2A-44D0-8CD9-957B8F598CB7}"/>
              </a:ext>
            </a:extLst>
          </xdr:cNvPr>
          <xdr:cNvSpPr txBox="1"/>
        </xdr:nvSpPr>
        <xdr:spPr>
          <a:xfrm>
            <a:off x="6074294" y="1404547"/>
            <a:ext cx="1879232" cy="380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atin typeface="Avenir Next LT Pro" panose="020B0504020202020204" pitchFamily="34" charset="0"/>
              </a:rPr>
              <a:t>Net Margin</a:t>
            </a:r>
          </a:p>
        </xdr:txBody>
      </xdr:sp>
    </xdr:grpSp>
    <xdr:clientData/>
  </xdr:twoCellAnchor>
  <xdr:twoCellAnchor>
    <xdr:from>
      <xdr:col>7</xdr:col>
      <xdr:colOff>654653</xdr:colOff>
      <xdr:row>7</xdr:row>
      <xdr:rowOff>124976</xdr:rowOff>
    </xdr:from>
    <xdr:to>
      <xdr:col>11</xdr:col>
      <xdr:colOff>541917</xdr:colOff>
      <xdr:row>13</xdr:row>
      <xdr:rowOff>33624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C38BAF1-1EBC-1707-AF88-0D7F5B882CAF}"/>
            </a:ext>
          </a:extLst>
        </xdr:cNvPr>
        <xdr:cNvGrpSpPr/>
      </xdr:nvGrpSpPr>
      <xdr:grpSpPr>
        <a:xfrm>
          <a:off x="8668353" y="1458476"/>
          <a:ext cx="2655864" cy="1369148"/>
          <a:chOff x="8493575" y="1408780"/>
          <a:chExt cx="2648134" cy="1316692"/>
        </a:xfrm>
      </xdr:grpSpPr>
      <xdr:sp macro="" textlink="Dash_Source!C6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02AA3B7-457B-4618-9BF4-4A4328899730}"/>
              </a:ext>
            </a:extLst>
          </xdr:cNvPr>
          <xdr:cNvSpPr/>
        </xdr:nvSpPr>
        <xdr:spPr>
          <a:xfrm>
            <a:off x="8674642" y="1902512"/>
            <a:ext cx="2286000" cy="822960"/>
          </a:xfrm>
          <a:prstGeom prst="roundRect">
            <a:avLst>
              <a:gd name="adj" fmla="val 11262"/>
            </a:avLst>
          </a:prstGeom>
          <a:gradFill>
            <a:gsLst>
              <a:gs pos="30000">
                <a:schemeClr val="accent2"/>
              </a:gs>
              <a:gs pos="61000">
                <a:schemeClr val="accent2">
                  <a:lumMod val="75000"/>
                </a:schemeClr>
              </a:gs>
              <a:gs pos="81000">
                <a:schemeClr val="accent2"/>
              </a:gs>
            </a:gsLst>
            <a:lin ang="72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3E20B0E-6DA1-49F8-A064-52B05238F57C}" type="TxLink">
              <a:rPr lang="en-US" sz="1400" b="1" i="0" u="none" strike="noStrike">
                <a:solidFill>
                  <a:schemeClr val="bg1"/>
                </a:solidFill>
                <a:latin typeface="Avenir Next LT Pro" panose="020B0504020202020204" pitchFamily="34" charset="0"/>
                <a:ea typeface="Calibri"/>
                <a:cs typeface="Calibri"/>
              </a:rPr>
              <a:pPr algn="ctr"/>
              <a:t> 12,767,475 </a:t>
            </a:fld>
            <a:endParaRPr lang="en-US" sz="1400" b="1">
              <a:solidFill>
                <a:schemeClr val="bg1"/>
              </a:solidFill>
              <a:latin typeface="Avenir Next LT Pro" panose="020B0504020202020204" pitchFamily="34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C6B0BD3-1E37-478E-A67E-22DF1FE950A6}"/>
              </a:ext>
            </a:extLst>
          </xdr:cNvPr>
          <xdr:cNvSpPr txBox="1"/>
        </xdr:nvSpPr>
        <xdr:spPr>
          <a:xfrm>
            <a:off x="8493575" y="1408780"/>
            <a:ext cx="2648134" cy="3800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atin typeface="Avenir Next LT Pro" panose="020B0504020202020204" pitchFamily="34" charset="0"/>
              </a:rPr>
              <a:t>Ending Cash</a:t>
            </a:r>
            <a:r>
              <a:rPr lang="en-US" sz="1200" b="1" baseline="0">
                <a:latin typeface="Avenir Next LT Pro" panose="020B0504020202020204" pitchFamily="34" charset="0"/>
              </a:rPr>
              <a:t> Balance</a:t>
            </a:r>
            <a:endParaRPr lang="en-US" sz="1200" b="1">
              <a:latin typeface="Avenir Next LT Pro" panose="020B0504020202020204" pitchFamily="34" charset="0"/>
            </a:endParaRPr>
          </a:p>
        </xdr:txBody>
      </xdr:sp>
    </xdr:grpSp>
    <xdr:clientData/>
  </xdr:twoCellAnchor>
  <xdr:twoCellAnchor>
    <xdr:from>
      <xdr:col>12</xdr:col>
      <xdr:colOff>460419</xdr:colOff>
      <xdr:row>7</xdr:row>
      <xdr:rowOff>145221</xdr:rowOff>
    </xdr:from>
    <xdr:to>
      <xdr:col>16</xdr:col>
      <xdr:colOff>532017</xdr:colOff>
      <xdr:row>13</xdr:row>
      <xdr:rowOff>33624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511CEFDF-D57A-6E55-791D-1C4A32B65D65}"/>
            </a:ext>
          </a:extLst>
        </xdr:cNvPr>
        <xdr:cNvGrpSpPr/>
      </xdr:nvGrpSpPr>
      <xdr:grpSpPr>
        <a:xfrm>
          <a:off x="11852319" y="1478721"/>
          <a:ext cx="2509998" cy="1348903"/>
          <a:chOff x="11821397" y="1429025"/>
          <a:chExt cx="2501163" cy="1296447"/>
        </a:xfrm>
      </xdr:grpSpPr>
      <xdr:sp macro="" textlink="Dash_Source!C4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52C1EF1C-94BA-4D70-A096-450DB13A5A39}"/>
              </a:ext>
            </a:extLst>
          </xdr:cNvPr>
          <xdr:cNvSpPr/>
        </xdr:nvSpPr>
        <xdr:spPr>
          <a:xfrm>
            <a:off x="11928978" y="1902512"/>
            <a:ext cx="2286000" cy="822960"/>
          </a:xfrm>
          <a:prstGeom prst="roundRect">
            <a:avLst>
              <a:gd name="adj" fmla="val 11262"/>
            </a:avLst>
          </a:prstGeom>
          <a:gradFill>
            <a:gsLst>
              <a:gs pos="30000">
                <a:schemeClr val="accent2"/>
              </a:gs>
              <a:gs pos="61000">
                <a:schemeClr val="accent2">
                  <a:lumMod val="75000"/>
                </a:schemeClr>
              </a:gs>
              <a:gs pos="81000">
                <a:schemeClr val="accent2"/>
              </a:gs>
            </a:gsLst>
            <a:lin ang="72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60CC26D-22F5-4BB0-8734-C4942482755F}" type="TxLink">
              <a:rPr lang="en-US" sz="1600" b="1" i="0" u="none" strike="noStrike">
                <a:solidFill>
                  <a:schemeClr val="bg1"/>
                </a:solidFill>
                <a:latin typeface="Avenir Next LT Pro" panose="020B0504020202020204" pitchFamily="34" charset="0"/>
                <a:ea typeface="Calibri"/>
                <a:cs typeface="Calibri"/>
              </a:rPr>
              <a:pPr algn="ctr"/>
              <a:t>70.1%</a:t>
            </a:fld>
            <a:endParaRPr lang="en-US" sz="1600" b="1">
              <a:solidFill>
                <a:schemeClr val="bg1"/>
              </a:solidFill>
              <a:latin typeface="Avenir Next LT Pro" panose="020B0504020202020204" pitchFamily="34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5BF317E-A4A9-4F0C-B299-8F2011AA8BB1}"/>
              </a:ext>
            </a:extLst>
          </xdr:cNvPr>
          <xdr:cNvSpPr txBox="1"/>
        </xdr:nvSpPr>
        <xdr:spPr>
          <a:xfrm>
            <a:off x="11821397" y="1429025"/>
            <a:ext cx="2501163" cy="4207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latin typeface="Avenir Next LT Pro" panose="020B0504020202020204" pitchFamily="34" charset="0"/>
              </a:rPr>
              <a:t>Systems</a:t>
            </a:r>
            <a:r>
              <a:rPr lang="en-US" sz="1200" b="1" baseline="0">
                <a:latin typeface="Avenir Next LT Pro" panose="020B0504020202020204" pitchFamily="34" charset="0"/>
              </a:rPr>
              <a:t> Deployed </a:t>
            </a:r>
            <a:r>
              <a:rPr lang="en-US" sz="1200" b="0" i="1" baseline="0">
                <a:latin typeface="Avenir Next LT Pro" panose="020B0504020202020204" pitchFamily="34" charset="0"/>
              </a:rPr>
              <a:t>(Cumulative)</a:t>
            </a:r>
            <a:endParaRPr lang="en-US" sz="1200" b="0" i="1">
              <a:latin typeface="Avenir Next LT Pro" panose="020B0504020202020204" pitchFamily="34" charset="0"/>
            </a:endParaRPr>
          </a:p>
        </xdr:txBody>
      </xdr:sp>
    </xdr:grpSp>
    <xdr:clientData/>
  </xdr:twoCellAnchor>
  <xdr:twoCellAnchor>
    <xdr:from>
      <xdr:col>6</xdr:col>
      <xdr:colOff>747108</xdr:colOff>
      <xdr:row>29</xdr:row>
      <xdr:rowOff>124237</xdr:rowOff>
    </xdr:from>
    <xdr:to>
      <xdr:col>16</xdr:col>
      <xdr:colOff>535113</xdr:colOff>
      <xdr:row>47</xdr:row>
      <xdr:rowOff>94419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1425259-8045-4799-B43D-B5640C45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747108</xdr:colOff>
      <xdr:row>49</xdr:row>
      <xdr:rowOff>23136</xdr:rowOff>
    </xdr:from>
    <xdr:to>
      <xdr:col>16</xdr:col>
      <xdr:colOff>536169</xdr:colOff>
      <xdr:row>66</xdr:row>
      <xdr:rowOff>72012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27FD65C-2312-4727-AB9E-5F43D357E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87157</xdr:colOff>
      <xdr:row>48</xdr:row>
      <xdr:rowOff>24902</xdr:rowOff>
    </xdr:from>
    <xdr:to>
      <xdr:col>17</xdr:col>
      <xdr:colOff>0</xdr:colOff>
      <xdr:row>48</xdr:row>
      <xdr:rowOff>24902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FB2E94C-54F1-C819-8A1C-39D825E60CA0}"/>
            </a:ext>
          </a:extLst>
        </xdr:cNvPr>
        <xdr:cNvCxnSpPr/>
      </xdr:nvCxnSpPr>
      <xdr:spPr>
        <a:xfrm>
          <a:off x="261471" y="9450294"/>
          <a:ext cx="14019804" cy="0"/>
        </a:xfrm>
        <a:prstGeom prst="line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87157</xdr:colOff>
      <xdr:row>66</xdr:row>
      <xdr:rowOff>178367</xdr:rowOff>
    </xdr:from>
    <xdr:to>
      <xdr:col>17</xdr:col>
      <xdr:colOff>0</xdr:colOff>
      <xdr:row>66</xdr:row>
      <xdr:rowOff>178367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BD65C7A-EC0B-4EAD-925B-D200443E6AD4}"/>
            </a:ext>
          </a:extLst>
        </xdr:cNvPr>
        <xdr:cNvCxnSpPr/>
      </xdr:nvCxnSpPr>
      <xdr:spPr>
        <a:xfrm>
          <a:off x="262795" y="13067516"/>
          <a:ext cx="14099014" cy="0"/>
        </a:xfrm>
        <a:prstGeom prst="line">
          <a:avLst/>
        </a:prstGeom>
        <a:ln w="28575">
          <a:solidFill>
            <a:schemeClr val="accent2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13803</xdr:colOff>
      <xdr:row>29</xdr:row>
      <xdr:rowOff>86234</xdr:rowOff>
    </xdr:from>
    <xdr:to>
      <xdr:col>5</xdr:col>
      <xdr:colOff>1035334</xdr:colOff>
      <xdr:row>47</xdr:row>
      <xdr:rowOff>105087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B1EE7C5-7A2B-476D-BE02-C023B480E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13803</xdr:colOff>
      <xdr:row>49</xdr:row>
      <xdr:rowOff>23136</xdr:rowOff>
    </xdr:from>
    <xdr:to>
      <xdr:col>5</xdr:col>
      <xdr:colOff>1065042</xdr:colOff>
      <xdr:row>66</xdr:row>
      <xdr:rowOff>67983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ECD842F-F309-4117-8F75-56B07478D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B2:E55"/>
  <sheetViews>
    <sheetView showGridLines="0" tabSelected="1" topLeftCell="A18" zoomScale="68" zoomScaleNormal="100" workbookViewId="0">
      <selection activeCell="C36" sqref="C36"/>
    </sheetView>
  </sheetViews>
  <sheetFormatPr defaultColWidth="8.6328125" defaultRowHeight="14.5"/>
  <cols>
    <col min="1" max="1" width="2.453125" customWidth="1"/>
    <col min="2" max="2" width="92" customWidth="1"/>
    <col min="3" max="4" width="40" customWidth="1"/>
    <col min="5" max="5" width="3" customWidth="1"/>
  </cols>
  <sheetData>
    <row r="2" spans="2:5" ht="25.5" customHeight="1">
      <c r="B2" s="2" t="s">
        <v>326</v>
      </c>
      <c r="C2" s="1"/>
      <c r="D2" s="1"/>
      <c r="E2" s="1"/>
    </row>
    <row r="3" spans="2:5" ht="19.5" customHeight="1">
      <c r="B3" s="3" t="s">
        <v>0</v>
      </c>
      <c r="C3" s="1"/>
      <c r="D3" s="1"/>
      <c r="E3" s="1"/>
    </row>
    <row r="4" spans="2:5" ht="18" customHeight="1">
      <c r="B4" s="4" t="s">
        <v>1</v>
      </c>
      <c r="C4" s="1"/>
      <c r="D4" s="1"/>
      <c r="E4" s="1"/>
    </row>
    <row r="6" spans="2:5" ht="19.5" customHeight="1">
      <c r="B6" s="6" t="s">
        <v>2</v>
      </c>
      <c r="C6" s="5"/>
      <c r="D6" s="5"/>
      <c r="E6" s="5"/>
    </row>
    <row r="8" spans="2:5" ht="77.5" customHeight="1">
      <c r="B8" s="7" t="s">
        <v>327</v>
      </c>
    </row>
    <row r="10" spans="2:5" ht="19.5" customHeight="1">
      <c r="B10" s="6" t="s">
        <v>3</v>
      </c>
      <c r="C10" s="5"/>
      <c r="D10" s="5"/>
      <c r="E10" s="5"/>
    </row>
    <row r="12" spans="2:5" ht="15" customHeight="1">
      <c r="B12" s="8" t="s">
        <v>4</v>
      </c>
      <c r="C12" s="9" t="s">
        <v>5</v>
      </c>
    </row>
    <row r="13" spans="2:5" ht="15" customHeight="1">
      <c r="B13" s="10" t="s">
        <v>6</v>
      </c>
      <c r="C13" s="9" t="s">
        <v>7</v>
      </c>
    </row>
    <row r="14" spans="2:5" ht="15" customHeight="1">
      <c r="B14" s="11" t="s">
        <v>8</v>
      </c>
      <c r="C14" s="9" t="s">
        <v>9</v>
      </c>
    </row>
    <row r="16" spans="2:5" ht="31.5" customHeight="1">
      <c r="B16" s="7" t="s">
        <v>10</v>
      </c>
    </row>
    <row r="18" spans="2:5" ht="19.5" customHeight="1">
      <c r="B18" s="6" t="s">
        <v>11</v>
      </c>
      <c r="C18" s="5"/>
      <c r="D18" s="5"/>
      <c r="E18" s="5"/>
    </row>
    <row r="20" spans="2:5" ht="15.75" customHeight="1">
      <c r="B20" s="12" t="s">
        <v>12</v>
      </c>
      <c r="C20" s="12" t="s">
        <v>13</v>
      </c>
      <c r="D20" s="12" t="s">
        <v>14</v>
      </c>
    </row>
    <row r="21" spans="2:5" ht="45.75" customHeight="1">
      <c r="B21" s="13" t="s">
        <v>15</v>
      </c>
      <c r="C21" s="14" t="s">
        <v>16</v>
      </c>
      <c r="D21" s="14" t="s">
        <v>17</v>
      </c>
    </row>
    <row r="22" spans="2:5" ht="45.75" customHeight="1">
      <c r="B22" s="13" t="s">
        <v>18</v>
      </c>
      <c r="C22" s="14" t="s">
        <v>19</v>
      </c>
      <c r="D22" s="14" t="s">
        <v>20</v>
      </c>
    </row>
    <row r="23" spans="2:5" ht="45.75" customHeight="1">
      <c r="B23" s="13" t="s">
        <v>21</v>
      </c>
      <c r="C23" s="14" t="s">
        <v>22</v>
      </c>
      <c r="D23" s="14" t="s">
        <v>23</v>
      </c>
    </row>
    <row r="24" spans="2:5" ht="45.75" customHeight="1">
      <c r="B24" s="13" t="s">
        <v>24</v>
      </c>
      <c r="C24" s="14" t="s">
        <v>328</v>
      </c>
      <c r="D24" s="14" t="s">
        <v>25</v>
      </c>
    </row>
    <row r="25" spans="2:5" ht="45.75" customHeight="1">
      <c r="B25" s="13" t="s">
        <v>26</v>
      </c>
      <c r="C25" s="14" t="s">
        <v>27</v>
      </c>
      <c r="D25" s="14" t="s">
        <v>28</v>
      </c>
    </row>
    <row r="26" spans="2:5" ht="45.75" customHeight="1">
      <c r="B26" s="13" t="s">
        <v>29</v>
      </c>
      <c r="C26" s="14" t="s">
        <v>30</v>
      </c>
      <c r="D26" s="14" t="s">
        <v>31</v>
      </c>
    </row>
    <row r="27" spans="2:5" ht="45.75" customHeight="1">
      <c r="B27" s="13" t="s">
        <v>32</v>
      </c>
      <c r="C27" s="14" t="s">
        <v>33</v>
      </c>
      <c r="D27" s="14" t="s">
        <v>34</v>
      </c>
    </row>
    <row r="28" spans="2:5" ht="45.75" customHeight="1">
      <c r="B28" s="13" t="s">
        <v>35</v>
      </c>
      <c r="C28" s="14" t="s">
        <v>36</v>
      </c>
      <c r="D28" s="14" t="s">
        <v>37</v>
      </c>
    </row>
    <row r="29" spans="2:5" ht="45.75" customHeight="1">
      <c r="B29" s="13" t="s">
        <v>38</v>
      </c>
      <c r="C29" s="14" t="s">
        <v>39</v>
      </c>
      <c r="D29" s="14" t="s">
        <v>40</v>
      </c>
    </row>
    <row r="30" spans="2:5" ht="45.75" customHeight="1">
      <c r="B30" s="13" t="s">
        <v>41</v>
      </c>
      <c r="C30" s="14" t="s">
        <v>42</v>
      </c>
      <c r="D30" s="14" t="s">
        <v>43</v>
      </c>
    </row>
    <row r="32" spans="2:5" ht="19.5" customHeight="1">
      <c r="B32" s="6" t="s">
        <v>44</v>
      </c>
      <c r="C32" s="5"/>
      <c r="D32" s="5"/>
      <c r="E32" s="5"/>
    </row>
    <row r="34" spans="2:5" ht="15" customHeight="1">
      <c r="B34" s="10" t="s">
        <v>45</v>
      </c>
    </row>
    <row r="35" spans="2:5" ht="58">
      <c r="B35" s="7" t="s">
        <v>46</v>
      </c>
    </row>
    <row r="36" spans="2:5">
      <c r="B36" s="10" t="s">
        <v>47</v>
      </c>
    </row>
    <row r="37" spans="2:5" ht="29">
      <c r="B37" s="7" t="s">
        <v>48</v>
      </c>
    </row>
    <row r="38" spans="2:5" ht="15" customHeight="1">
      <c r="B38" s="10" t="s">
        <v>49</v>
      </c>
    </row>
    <row r="39" spans="2:5" ht="42" customHeight="1">
      <c r="B39" s="7" t="s">
        <v>50</v>
      </c>
    </row>
    <row r="40" spans="2:5" ht="15" customHeight="1">
      <c r="B40" s="10" t="s">
        <v>51</v>
      </c>
    </row>
    <row r="41" spans="2:5" ht="42" customHeight="1">
      <c r="B41" s="7" t="s">
        <v>52</v>
      </c>
    </row>
    <row r="42" spans="2:5" ht="15" customHeight="1">
      <c r="B42" s="10" t="s">
        <v>53</v>
      </c>
    </row>
    <row r="43" spans="2:5" ht="42" customHeight="1">
      <c r="B43" s="7" t="s">
        <v>54</v>
      </c>
    </row>
    <row r="44" spans="2:5" ht="19.5" customHeight="1">
      <c r="B44" s="6" t="s">
        <v>55</v>
      </c>
      <c r="C44" s="5"/>
      <c r="D44" s="5"/>
      <c r="E44" s="5"/>
    </row>
    <row r="46" spans="2:5" ht="15.75" customHeight="1">
      <c r="B46" s="15" t="s">
        <v>56</v>
      </c>
      <c r="C46" s="15" t="s">
        <v>57</v>
      </c>
      <c r="D46" s="15" t="s">
        <v>58</v>
      </c>
    </row>
    <row r="47" spans="2:5" ht="15" customHeight="1">
      <c r="B47" s="16" t="s">
        <v>59</v>
      </c>
      <c r="C47" s="17">
        <f>Assumptions!D17</f>
        <v>1150000</v>
      </c>
      <c r="D47" s="18" t="s">
        <v>60</v>
      </c>
    </row>
    <row r="48" spans="2:5" ht="15" customHeight="1">
      <c r="B48" s="16" t="s">
        <v>61</v>
      </c>
      <c r="C48" s="19">
        <f>Assumptions!D23</f>
        <v>0.15</v>
      </c>
      <c r="D48" s="18" t="s">
        <v>62</v>
      </c>
    </row>
    <row r="49" spans="2:4" ht="15" customHeight="1">
      <c r="B49" s="16" t="s">
        <v>63</v>
      </c>
      <c r="C49" s="19">
        <f>Assumptions!D28</f>
        <v>0.75</v>
      </c>
      <c r="D49" s="18" t="s">
        <v>64</v>
      </c>
    </row>
    <row r="50" spans="2:4" ht="15" customHeight="1">
      <c r="B50" s="16" t="s">
        <v>65</v>
      </c>
      <c r="C50" s="19">
        <f>Assumptions!D35</f>
        <v>0.4</v>
      </c>
      <c r="D50" s="18" t="s">
        <v>66</v>
      </c>
    </row>
    <row r="51" spans="2:4" ht="15" customHeight="1">
      <c r="B51" s="16" t="s">
        <v>67</v>
      </c>
      <c r="C51" s="20">
        <f>Assumptions!D57</f>
        <v>20</v>
      </c>
      <c r="D51" s="18" t="s">
        <v>68</v>
      </c>
    </row>
    <row r="52" spans="2:4" ht="15" customHeight="1">
      <c r="B52" s="16" t="s">
        <v>69</v>
      </c>
      <c r="C52" s="19">
        <f>Assumptions!D40</f>
        <v>0.21</v>
      </c>
      <c r="D52" s="18" t="s">
        <v>70</v>
      </c>
    </row>
    <row r="53" spans="2:4" ht="15" customHeight="1">
      <c r="B53" s="16" t="s">
        <v>71</v>
      </c>
      <c r="C53" s="19">
        <f>Assumptions!D42</f>
        <v>0.24475999999999998</v>
      </c>
      <c r="D53" s="18" t="s">
        <v>72</v>
      </c>
    </row>
    <row r="54" spans="2:4" ht="15" customHeight="1">
      <c r="B54" s="16" t="s">
        <v>73</v>
      </c>
      <c r="C54" s="20">
        <f>Assumptions!D34</f>
        <v>11</v>
      </c>
      <c r="D54" s="18" t="s">
        <v>74</v>
      </c>
    </row>
    <row r="55" spans="2:4" ht="15" customHeight="1">
      <c r="B55" s="16" t="s">
        <v>75</v>
      </c>
      <c r="C55" s="19">
        <f>Assumptions!D33</f>
        <v>7.4999999999999997E-2</v>
      </c>
      <c r="D55" s="18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418F-B4E5-4A8C-A6C9-E9C5BD9974BE}">
  <sheetPr>
    <tabColor rgb="FFFFC000"/>
  </sheetPr>
  <dimension ref="B2:G27"/>
  <sheetViews>
    <sheetView showGridLines="0" topLeftCell="A3" zoomScale="74" workbookViewId="0">
      <selection activeCell="B19" sqref="B19:G22"/>
    </sheetView>
  </sheetViews>
  <sheetFormatPr defaultRowHeight="14.5"/>
  <cols>
    <col min="2" max="2" width="35.90625" bestFit="1" customWidth="1"/>
    <col min="3" max="3" width="13.7265625" bestFit="1" customWidth="1"/>
    <col min="4" max="7" width="12.54296875" bestFit="1" customWidth="1"/>
  </cols>
  <sheetData>
    <row r="2" spans="2:7" s="81" customFormat="1">
      <c r="B2" s="81" t="s">
        <v>313</v>
      </c>
    </row>
    <row r="3" spans="2:7">
      <c r="B3" t="s">
        <v>78</v>
      </c>
      <c r="C3" s="80">
        <f>SUM(Income_Statement!C9:G9)</f>
        <v>34727560.624879867</v>
      </c>
    </row>
    <row r="4" spans="2:7">
      <c r="B4" t="s">
        <v>315</v>
      </c>
      <c r="C4" s="79">
        <f>AVERAGE(Income_Statement!C24:G24)</f>
        <v>0.70073504245448748</v>
      </c>
    </row>
    <row r="5" spans="2:7">
      <c r="B5" t="s">
        <v>314</v>
      </c>
      <c r="C5" s="78">
        <f>AVERAGE(Income_Statement!C37:G37)</f>
        <v>0.12468621139921095</v>
      </c>
    </row>
    <row r="6" spans="2:7">
      <c r="B6" t="s">
        <v>316</v>
      </c>
      <c r="C6" s="80">
        <f>AVERAGE(Cash_Flow!C26:G26)</f>
        <v>12767475.433862869</v>
      </c>
    </row>
    <row r="7" spans="2:7">
      <c r="B7" t="s">
        <v>317</v>
      </c>
      <c r="C7">
        <f>SUM('Deploymnet_&amp;_CAPEX_Schedule'!C5:G5)</f>
        <v>65</v>
      </c>
    </row>
    <row r="9" spans="2:7" ht="16">
      <c r="B9" t="s">
        <v>319</v>
      </c>
      <c r="C9" s="82">
        <f>Income_Statement!C4</f>
        <v>46023</v>
      </c>
      <c r="D9" s="82">
        <f>Income_Statement!D4</f>
        <v>46388</v>
      </c>
      <c r="E9" s="82">
        <f>Income_Statement!E4</f>
        <v>46753</v>
      </c>
      <c r="F9" s="82">
        <f>Income_Statement!F4</f>
        <v>47119</v>
      </c>
      <c r="G9" s="82">
        <f>Income_Statement!G4</f>
        <v>47484</v>
      </c>
    </row>
    <row r="10" spans="2:7">
      <c r="B10" t="str">
        <f>Income_Statement!B6</f>
        <v>PPA revenue</v>
      </c>
      <c r="C10" s="80">
        <f>Income_Statement!C6</f>
        <v>1190000</v>
      </c>
      <c r="D10" s="80">
        <f>Income_Statement!D6</f>
        <v>2403651.25</v>
      </c>
      <c r="E10" s="80">
        <f>Income_Statement!E6</f>
        <v>4236423.8185937498</v>
      </c>
      <c r="F10" s="80">
        <f>Income_Statement!F6</f>
        <v>6105622.7419883003</v>
      </c>
      <c r="G10" s="80">
        <f>Income_Statement!G6</f>
        <v>8011971.9939853176</v>
      </c>
    </row>
    <row r="11" spans="2:7">
      <c r="B11" t="str">
        <f>Income_Statement!B7</f>
        <v>Grid services / demand response revenue</v>
      </c>
      <c r="C11" s="80">
        <f>Income_Statement!C7</f>
        <v>500000</v>
      </c>
      <c r="D11" s="80">
        <f>Income_Statement!D7</f>
        <v>1012500</v>
      </c>
      <c r="E11" s="80">
        <f>Income_Statement!E7</f>
        <v>1787812.5</v>
      </c>
      <c r="F11" s="80">
        <f>Income_Statement!F7</f>
        <v>2582507.8125</v>
      </c>
      <c r="G11" s="80">
        <f>Income_Statement!G7</f>
        <v>3397070.5078124995</v>
      </c>
    </row>
    <row r="12" spans="2:7">
      <c r="B12" t="str">
        <f>Income_Statement!B8</f>
        <v>SaaS licensing revenue</v>
      </c>
      <c r="C12" s="80" t="e">
        <f>IF(Income_Statement!C8=0,NA(),Income_Statement!C8)</f>
        <v>#N/A</v>
      </c>
      <c r="D12" s="80">
        <f>IF(Income_Statement!D8=0,NA(),Income_Statement!D8)</f>
        <v>150000</v>
      </c>
      <c r="E12" s="80">
        <f>IF(Income_Statement!E8=0,NA(),Income_Statement!E8)</f>
        <v>450000</v>
      </c>
      <c r="F12" s="80">
        <f>IF(Income_Statement!F8=0,NA(),Income_Statement!F8)</f>
        <v>1000000</v>
      </c>
      <c r="G12" s="80">
        <f>IF(Income_Statement!G8=0,NA(),Income_Statement!G8)</f>
        <v>1900000</v>
      </c>
    </row>
    <row r="14" spans="2:7">
      <c r="B14" t="s">
        <v>320</v>
      </c>
      <c r="C14" s="83">
        <f>C9</f>
        <v>46023</v>
      </c>
      <c r="D14" s="83">
        <f t="shared" ref="D14:G14" si="0">D9</f>
        <v>46388</v>
      </c>
      <c r="E14" s="83">
        <f t="shared" si="0"/>
        <v>46753</v>
      </c>
      <c r="F14" s="83">
        <f t="shared" si="0"/>
        <v>47119</v>
      </c>
      <c r="G14" s="83">
        <f t="shared" si="0"/>
        <v>47484</v>
      </c>
    </row>
    <row r="15" spans="2:7">
      <c r="B15" t="s">
        <v>84</v>
      </c>
      <c r="C15" s="80">
        <f>Income_Statement!C23</f>
        <v>927000</v>
      </c>
      <c r="D15" s="80">
        <f>Income_Statement!D23</f>
        <v>2439796</v>
      </c>
      <c r="E15" s="80">
        <f>Income_Statement!E23</f>
        <v>4797560.9298749994</v>
      </c>
      <c r="F15" s="80">
        <f>Income_Statement!F23</f>
        <v>7372380.615465641</v>
      </c>
      <c r="G15" s="80">
        <f>Income_Statement!G23</f>
        <v>10234744.577610129</v>
      </c>
    </row>
    <row r="16" spans="2:7">
      <c r="B16" t="s">
        <v>321</v>
      </c>
      <c r="C16" s="80">
        <f>Income_Statement!C36</f>
        <v>48712.98</v>
      </c>
      <c r="D16" s="80">
        <f>Income_Statement!D36</f>
        <v>548169.14807640039</v>
      </c>
      <c r="E16" s="80">
        <f>Income_Statement!E36</f>
        <v>1203236.2859796607</v>
      </c>
      <c r="F16" s="80">
        <f>Income_Statement!F36</f>
        <v>1586955.6874116377</v>
      </c>
      <c r="G16" s="80">
        <f>Income_Statement!G36</f>
        <v>1214294.0735440874</v>
      </c>
    </row>
    <row r="19" spans="2:7">
      <c r="B19" t="s">
        <v>320</v>
      </c>
      <c r="C19" s="83">
        <f>C14</f>
        <v>46023</v>
      </c>
      <c r="D19" s="83">
        <f t="shared" ref="D19:G19" si="1">D14</f>
        <v>46388</v>
      </c>
      <c r="E19" s="83">
        <f t="shared" si="1"/>
        <v>46753</v>
      </c>
      <c r="F19" s="83">
        <f t="shared" si="1"/>
        <v>47119</v>
      </c>
      <c r="G19" s="83">
        <f t="shared" si="1"/>
        <v>47484</v>
      </c>
    </row>
    <row r="20" spans="2:7">
      <c r="B20" t="s">
        <v>322</v>
      </c>
      <c r="C20" s="79">
        <f>Income_Statement!C16</f>
        <v>0.89437869822485205</v>
      </c>
      <c r="D20" s="79">
        <f>Income_Statement!D16</f>
        <v>0.88838171474078675</v>
      </c>
      <c r="E20" s="79">
        <f>Income_Statement!E16</f>
        <v>0.88447076442962991</v>
      </c>
      <c r="F20" s="79">
        <f>Income_Statement!F16</f>
        <v>0.87966270636617971</v>
      </c>
      <c r="G20" s="79">
        <f>Income_Statement!G16</f>
        <v>0.87401078636037932</v>
      </c>
    </row>
    <row r="21" spans="2:7">
      <c r="B21" t="s">
        <v>315</v>
      </c>
      <c r="C21" s="79">
        <f>Income_Statement!C24</f>
        <v>0.54852071005917158</v>
      </c>
      <c r="D21" s="79">
        <f>Income_Statement!D24</f>
        <v>0.68415381989196333</v>
      </c>
      <c r="E21" s="79">
        <f>Income_Statement!E24</f>
        <v>0.74102344952972987</v>
      </c>
      <c r="F21" s="79">
        <f>Income_Statement!F24</f>
        <v>0.76097040331998589</v>
      </c>
      <c r="G21" s="79">
        <f>Income_Statement!G24</f>
        <v>0.76900682947158638</v>
      </c>
    </row>
    <row r="22" spans="2:7">
      <c r="B22" t="s">
        <v>314</v>
      </c>
      <c r="C22" s="79">
        <f>Income_Statement!C37</f>
        <v>2.8824248520710062E-2</v>
      </c>
      <c r="D22" s="79">
        <f>Income_Statement!D37</f>
        <v>0.15371449768890211</v>
      </c>
      <c r="E22" s="79">
        <f>Income_Statement!E37</f>
        <v>0.18584991754533486</v>
      </c>
      <c r="F22" s="79">
        <f>Income_Statement!F37</f>
        <v>0.16380411870858155</v>
      </c>
      <c r="G22" s="79">
        <f>Income_Statement!G37</f>
        <v>9.1238274532526101E-2</v>
      </c>
    </row>
    <row r="24" spans="2:7">
      <c r="B24" t="s">
        <v>97</v>
      </c>
      <c r="C24" t="s">
        <v>324</v>
      </c>
    </row>
    <row r="25" spans="2:7">
      <c r="B25" t="s">
        <v>98</v>
      </c>
      <c r="C25" s="80">
        <f>SUM('Deploymnet_&amp;_CAPEX_Schedule'!C14:G14)</f>
        <v>44850000</v>
      </c>
    </row>
    <row r="26" spans="2:7">
      <c r="B26" t="s">
        <v>99</v>
      </c>
      <c r="C26" s="80">
        <f>SUM('Deploymnet_&amp;_CAPEX_Schedule'!C15:G15)</f>
        <v>29900000</v>
      </c>
    </row>
    <row r="27" spans="2:7">
      <c r="B27" t="s">
        <v>100</v>
      </c>
      <c r="C27" s="80">
        <f>SUM('Deploymnet_&amp;_CAPEX_Schedule'!C17:G17)</f>
        <v>29900000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1:H57"/>
  <sheetViews>
    <sheetView showGridLines="0" zoomScale="68" zoomScaleNormal="68" workbookViewId="0">
      <selection activeCell="D61" sqref="D61"/>
    </sheetView>
  </sheetViews>
  <sheetFormatPr defaultColWidth="8.7265625" defaultRowHeight="16"/>
  <cols>
    <col min="1" max="1" width="3.6328125" style="21" customWidth="1"/>
    <col min="2" max="2" width="64.6328125" style="21" customWidth="1"/>
    <col min="3" max="3" width="8.7265625" style="21"/>
    <col min="4" max="4" width="14.26953125" style="21" customWidth="1"/>
    <col min="5" max="6" width="11.26953125" style="21" customWidth="1"/>
    <col min="7" max="8" width="12.7265625" style="21" customWidth="1"/>
    <col min="9" max="16384" width="8.7265625" style="21"/>
  </cols>
  <sheetData>
    <row r="1" spans="2:8" ht="30" customHeight="1"/>
    <row r="2" spans="2:8" s="70" customFormat="1" ht="30" customHeight="1">
      <c r="B2" s="66" t="s">
        <v>15</v>
      </c>
      <c r="C2" s="67"/>
      <c r="D2" s="67"/>
      <c r="E2" s="67"/>
      <c r="F2" s="67"/>
      <c r="G2" s="67"/>
      <c r="H2" s="67"/>
    </row>
    <row r="3" spans="2:8" ht="15" customHeight="1">
      <c r="B3" s="68"/>
      <c r="C3" s="69"/>
      <c r="D3" s="69"/>
      <c r="E3" s="69"/>
      <c r="F3" s="69"/>
      <c r="G3" s="69"/>
      <c r="H3" s="69"/>
    </row>
    <row r="4" spans="2:8" ht="15.75" customHeight="1">
      <c r="B4" s="65" t="s">
        <v>309</v>
      </c>
      <c r="C4" s="22">
        <v>46023</v>
      </c>
    </row>
    <row r="6" spans="2:8" s="23" customFormat="1" ht="15.75" customHeight="1">
      <c r="B6" s="24" t="s">
        <v>79</v>
      </c>
      <c r="C6" s="24" t="s">
        <v>102</v>
      </c>
      <c r="D6" s="24" t="s">
        <v>103</v>
      </c>
      <c r="E6" s="24" t="s">
        <v>104</v>
      </c>
      <c r="F6" s="24" t="s">
        <v>105</v>
      </c>
      <c r="G6" s="24" t="s">
        <v>106</v>
      </c>
      <c r="H6" s="24" t="s">
        <v>107</v>
      </c>
    </row>
    <row r="7" spans="2:8" ht="15.75" customHeight="1">
      <c r="B7" s="25"/>
      <c r="C7" s="25"/>
      <c r="D7" s="26">
        <f>C4</f>
        <v>46023</v>
      </c>
      <c r="E7" s="26">
        <f>DATE(YEAR(D7)+1,MONTH(D7),DAY(D7))</f>
        <v>46388</v>
      </c>
      <c r="F7" s="26">
        <f t="shared" ref="F7:H7" si="0">DATE(YEAR(E7)+1,MONTH(E7),DAY(E7))</f>
        <v>46753</v>
      </c>
      <c r="G7" s="26">
        <f t="shared" si="0"/>
        <v>47119</v>
      </c>
      <c r="H7" s="26">
        <f t="shared" si="0"/>
        <v>47484</v>
      </c>
    </row>
    <row r="9" spans="2:8" ht="15.75" customHeight="1">
      <c r="B9" s="63" t="s">
        <v>108</v>
      </c>
      <c r="C9" s="64"/>
      <c r="D9" s="64"/>
      <c r="E9" s="64"/>
      <c r="F9" s="64"/>
      <c r="G9" s="64"/>
      <c r="H9" s="64"/>
    </row>
    <row r="10" spans="2:8" ht="15" customHeight="1">
      <c r="B10" s="21" t="s">
        <v>109</v>
      </c>
      <c r="C10" s="21" t="s">
        <v>110</v>
      </c>
      <c r="D10" s="28">
        <v>10</v>
      </c>
      <c r="E10" s="28">
        <v>10</v>
      </c>
      <c r="F10" s="28">
        <v>15</v>
      </c>
      <c r="G10" s="28">
        <v>15</v>
      </c>
      <c r="H10" s="28">
        <v>15</v>
      </c>
    </row>
    <row r="11" spans="2:8" ht="15.75" customHeight="1">
      <c r="B11" s="21" t="s">
        <v>111</v>
      </c>
      <c r="C11" s="21" t="s">
        <v>112</v>
      </c>
      <c r="D11" s="29">
        <f>D10</f>
        <v>10</v>
      </c>
      <c r="E11" s="29">
        <f>D11+E10</f>
        <v>20</v>
      </c>
      <c r="F11" s="29">
        <f>E11+F10</f>
        <v>35</v>
      </c>
      <c r="G11" s="29">
        <f>F11+G10</f>
        <v>50</v>
      </c>
      <c r="H11" s="29">
        <f>G11+H10</f>
        <v>65</v>
      </c>
    </row>
    <row r="13" spans="2:8" ht="15.75" customHeight="1">
      <c r="B13" s="63" t="s">
        <v>113</v>
      </c>
      <c r="C13" s="64"/>
      <c r="D13" s="64"/>
      <c r="E13" s="64"/>
      <c r="F13" s="64"/>
      <c r="G13" s="64"/>
      <c r="H13" s="64"/>
    </row>
    <row r="14" spans="2:8" ht="15.75" customHeight="1">
      <c r="B14" s="21" t="s">
        <v>114</v>
      </c>
      <c r="C14" s="21" t="s">
        <v>115</v>
      </c>
      <c r="D14" s="28">
        <v>500</v>
      </c>
      <c r="E14" s="29">
        <f t="shared" ref="E14:H15" si="1">D14</f>
        <v>500</v>
      </c>
      <c r="F14" s="29">
        <f t="shared" si="1"/>
        <v>500</v>
      </c>
      <c r="G14" s="29">
        <f t="shared" si="1"/>
        <v>500</v>
      </c>
      <c r="H14" s="29">
        <f t="shared" si="1"/>
        <v>500</v>
      </c>
    </row>
    <row r="15" spans="2:8" ht="15.75" customHeight="1">
      <c r="B15" s="21" t="s">
        <v>116</v>
      </c>
      <c r="C15" s="21" t="s">
        <v>117</v>
      </c>
      <c r="D15" s="28">
        <v>1000</v>
      </c>
      <c r="E15" s="29">
        <f t="shared" si="1"/>
        <v>1000</v>
      </c>
      <c r="F15" s="29">
        <f t="shared" si="1"/>
        <v>1000</v>
      </c>
      <c r="G15" s="29">
        <f t="shared" si="1"/>
        <v>1000</v>
      </c>
      <c r="H15" s="29">
        <f t="shared" si="1"/>
        <v>1000</v>
      </c>
    </row>
    <row r="16" spans="2:8" ht="15.75" customHeight="1">
      <c r="B16" s="21" t="s">
        <v>118</v>
      </c>
      <c r="C16" s="21" t="s">
        <v>119</v>
      </c>
      <c r="D16" s="28">
        <v>0</v>
      </c>
      <c r="E16" s="29"/>
      <c r="F16" s="29"/>
      <c r="G16" s="29"/>
      <c r="H16" s="29"/>
    </row>
    <row r="17" spans="2:8" ht="15.75" customHeight="1">
      <c r="B17" s="21" t="s">
        <v>120</v>
      </c>
      <c r="C17" s="21" t="s">
        <v>121</v>
      </c>
      <c r="D17" s="28">
        <v>1150000</v>
      </c>
      <c r="E17" s="29">
        <f t="shared" ref="E17:H21" si="2">D17</f>
        <v>1150000</v>
      </c>
      <c r="F17" s="29">
        <f t="shared" si="2"/>
        <v>1150000</v>
      </c>
      <c r="G17" s="29">
        <f t="shared" si="2"/>
        <v>1150000</v>
      </c>
      <c r="H17" s="29">
        <f t="shared" si="2"/>
        <v>1150000</v>
      </c>
    </row>
    <row r="18" spans="2:8" ht="15.75" customHeight="1">
      <c r="B18" s="21" t="s">
        <v>122</v>
      </c>
      <c r="C18" s="21" t="s">
        <v>117</v>
      </c>
      <c r="D18" s="28">
        <v>700000</v>
      </c>
      <c r="E18" s="29">
        <f t="shared" si="2"/>
        <v>700000</v>
      </c>
      <c r="F18" s="29">
        <f t="shared" si="2"/>
        <v>700000</v>
      </c>
      <c r="G18" s="29">
        <f t="shared" si="2"/>
        <v>700000</v>
      </c>
      <c r="H18" s="29">
        <f t="shared" si="2"/>
        <v>700000</v>
      </c>
    </row>
    <row r="19" spans="2:8" ht="15.75" customHeight="1">
      <c r="B19" s="21" t="s">
        <v>123</v>
      </c>
      <c r="C19" s="21" t="s">
        <v>119</v>
      </c>
      <c r="D19" s="30">
        <v>5.0000000000000001E-3</v>
      </c>
      <c r="E19" s="31">
        <f t="shared" si="2"/>
        <v>5.0000000000000001E-3</v>
      </c>
      <c r="F19" s="31">
        <f t="shared" si="2"/>
        <v>5.0000000000000001E-3</v>
      </c>
      <c r="G19" s="31">
        <f t="shared" si="2"/>
        <v>5.0000000000000001E-3</v>
      </c>
      <c r="H19" s="31">
        <f t="shared" si="2"/>
        <v>5.0000000000000001E-3</v>
      </c>
    </row>
    <row r="20" spans="2:8" ht="15.75" customHeight="1">
      <c r="B20" s="21" t="s">
        <v>124</v>
      </c>
      <c r="C20" s="21" t="s">
        <v>125</v>
      </c>
      <c r="D20" s="32">
        <v>0.17</v>
      </c>
      <c r="E20" s="33">
        <f t="shared" si="2"/>
        <v>0.17</v>
      </c>
      <c r="F20" s="33">
        <f t="shared" si="2"/>
        <v>0.17</v>
      </c>
      <c r="G20" s="33">
        <f t="shared" si="2"/>
        <v>0.17</v>
      </c>
      <c r="H20" s="33">
        <f t="shared" si="2"/>
        <v>0.17</v>
      </c>
    </row>
    <row r="21" spans="2:8" ht="15.75" customHeight="1">
      <c r="B21" s="21" t="s">
        <v>126</v>
      </c>
      <c r="C21" s="21" t="s">
        <v>119</v>
      </c>
      <c r="D21" s="34">
        <v>2.5000000000000001E-2</v>
      </c>
      <c r="E21" s="35">
        <f>D21</f>
        <v>2.5000000000000001E-2</v>
      </c>
      <c r="F21" s="35">
        <f t="shared" si="2"/>
        <v>2.5000000000000001E-2</v>
      </c>
      <c r="G21" s="35">
        <f t="shared" si="2"/>
        <v>2.5000000000000001E-2</v>
      </c>
      <c r="H21" s="35">
        <f t="shared" si="2"/>
        <v>2.5000000000000001E-2</v>
      </c>
    </row>
    <row r="22" spans="2:8" ht="15.75" customHeight="1">
      <c r="B22" s="21" t="s">
        <v>127</v>
      </c>
      <c r="C22" s="21" t="s">
        <v>128</v>
      </c>
      <c r="D22" s="28">
        <v>50000</v>
      </c>
      <c r="E22" s="29">
        <f t="shared" ref="E22:H23" si="3">D22</f>
        <v>50000</v>
      </c>
      <c r="F22" s="29">
        <f t="shared" si="3"/>
        <v>50000</v>
      </c>
      <c r="G22" s="29">
        <f t="shared" si="3"/>
        <v>50000</v>
      </c>
      <c r="H22" s="29">
        <f t="shared" si="3"/>
        <v>50000</v>
      </c>
    </row>
    <row r="23" spans="2:8" ht="15.75" customHeight="1">
      <c r="B23" s="21" t="s">
        <v>129</v>
      </c>
      <c r="C23" s="21" t="s">
        <v>119</v>
      </c>
      <c r="D23" s="34">
        <v>0.15</v>
      </c>
      <c r="E23" s="35">
        <f t="shared" si="3"/>
        <v>0.15</v>
      </c>
      <c r="F23" s="35">
        <f t="shared" si="3"/>
        <v>0.15</v>
      </c>
      <c r="G23" s="35">
        <f t="shared" si="3"/>
        <v>0.15</v>
      </c>
      <c r="H23" s="35">
        <f t="shared" si="3"/>
        <v>0.15</v>
      </c>
    </row>
    <row r="25" spans="2:8" ht="15.75" customHeight="1">
      <c r="B25" s="63" t="s">
        <v>130</v>
      </c>
      <c r="C25" s="64"/>
      <c r="D25" s="64"/>
      <c r="E25" s="64"/>
      <c r="F25" s="64"/>
      <c r="G25" s="64"/>
      <c r="H25" s="64"/>
    </row>
    <row r="26" spans="2:8" ht="15.75" customHeight="1">
      <c r="B26" s="21" t="s">
        <v>131</v>
      </c>
      <c r="C26" s="21" t="s">
        <v>121</v>
      </c>
      <c r="D26" s="28">
        <v>0</v>
      </c>
      <c r="E26" s="28">
        <v>150000</v>
      </c>
      <c r="F26" s="28">
        <v>300000</v>
      </c>
      <c r="G26" s="28">
        <v>550000</v>
      </c>
      <c r="H26" s="28">
        <v>900000</v>
      </c>
    </row>
    <row r="27" spans="2:8" s="23" customFormat="1" ht="15.75" customHeight="1">
      <c r="B27" s="23" t="s">
        <v>132</v>
      </c>
      <c r="C27" s="23" t="s">
        <v>121</v>
      </c>
      <c r="D27" s="36">
        <v>0</v>
      </c>
      <c r="E27" s="37">
        <f>E26</f>
        <v>150000</v>
      </c>
      <c r="F27" s="37">
        <f>E27+F26</f>
        <v>450000</v>
      </c>
      <c r="G27" s="37">
        <f>F27+G26</f>
        <v>1000000</v>
      </c>
      <c r="H27" s="37">
        <f>G27+H26</f>
        <v>1900000</v>
      </c>
    </row>
    <row r="28" spans="2:8" ht="15.75" customHeight="1">
      <c r="B28" s="21" t="s">
        <v>63</v>
      </c>
      <c r="C28" s="21" t="s">
        <v>119</v>
      </c>
      <c r="D28" s="34">
        <v>0.75</v>
      </c>
      <c r="E28" s="35">
        <f>D28</f>
        <v>0.75</v>
      </c>
      <c r="F28" s="35">
        <f>E28</f>
        <v>0.75</v>
      </c>
      <c r="G28" s="35">
        <f>F28</f>
        <v>0.75</v>
      </c>
      <c r="H28" s="35">
        <f>G28</f>
        <v>0.75</v>
      </c>
    </row>
    <row r="30" spans="2:8" ht="15.75" customHeight="1">
      <c r="B30" s="63" t="s">
        <v>133</v>
      </c>
      <c r="C30" s="64"/>
      <c r="D30" s="64"/>
      <c r="E30" s="64"/>
      <c r="F30" s="64"/>
      <c r="G30" s="64"/>
      <c r="H30" s="64"/>
    </row>
    <row r="31" spans="2:8" ht="15.75" customHeight="1">
      <c r="B31" s="21" t="s">
        <v>134</v>
      </c>
      <c r="C31" s="21" t="s">
        <v>119</v>
      </c>
      <c r="D31" s="34">
        <v>0.6</v>
      </c>
      <c r="E31" s="35">
        <f t="shared" ref="E31:H36" si="4">D31</f>
        <v>0.6</v>
      </c>
      <c r="F31" s="35">
        <f t="shared" si="4"/>
        <v>0.6</v>
      </c>
      <c r="G31" s="35">
        <f t="shared" si="4"/>
        <v>0.6</v>
      </c>
      <c r="H31" s="35">
        <f t="shared" si="4"/>
        <v>0.6</v>
      </c>
    </row>
    <row r="32" spans="2:8" ht="15.75" customHeight="1">
      <c r="B32" s="21" t="s">
        <v>135</v>
      </c>
      <c r="C32" s="21" t="s">
        <v>119</v>
      </c>
      <c r="D32" s="35">
        <f>1-D31</f>
        <v>0.4</v>
      </c>
      <c r="E32" s="35">
        <f t="shared" si="4"/>
        <v>0.4</v>
      </c>
      <c r="F32" s="35">
        <f t="shared" si="4"/>
        <v>0.4</v>
      </c>
      <c r="G32" s="35">
        <f t="shared" si="4"/>
        <v>0.4</v>
      </c>
      <c r="H32" s="35">
        <f t="shared" si="4"/>
        <v>0.4</v>
      </c>
    </row>
    <row r="33" spans="2:8" ht="15.75" customHeight="1">
      <c r="B33" s="21" t="s">
        <v>136</v>
      </c>
      <c r="C33" s="21" t="s">
        <v>119</v>
      </c>
      <c r="D33" s="34">
        <v>7.4999999999999997E-2</v>
      </c>
      <c r="E33" s="35">
        <f t="shared" si="4"/>
        <v>7.4999999999999997E-2</v>
      </c>
      <c r="F33" s="35">
        <f t="shared" si="4"/>
        <v>7.4999999999999997E-2</v>
      </c>
      <c r="G33" s="35">
        <f t="shared" si="4"/>
        <v>7.4999999999999997E-2</v>
      </c>
      <c r="H33" s="35">
        <f t="shared" si="4"/>
        <v>7.4999999999999997E-2</v>
      </c>
    </row>
    <row r="34" spans="2:8" ht="15.75" customHeight="1">
      <c r="B34" s="21" t="s">
        <v>137</v>
      </c>
      <c r="C34" s="21" t="s">
        <v>138</v>
      </c>
      <c r="D34" s="28">
        <v>11</v>
      </c>
      <c r="E34" s="29">
        <f t="shared" si="4"/>
        <v>11</v>
      </c>
      <c r="F34" s="29">
        <f t="shared" si="4"/>
        <v>11</v>
      </c>
      <c r="G34" s="29">
        <f t="shared" si="4"/>
        <v>11</v>
      </c>
      <c r="H34" s="29">
        <f t="shared" si="4"/>
        <v>11</v>
      </c>
    </row>
    <row r="35" spans="2:8" ht="15.75" customHeight="1">
      <c r="B35" s="21" t="s">
        <v>139</v>
      </c>
      <c r="C35" s="21" t="s">
        <v>119</v>
      </c>
      <c r="D35" s="34">
        <v>0.4</v>
      </c>
      <c r="E35" s="35">
        <f t="shared" si="4"/>
        <v>0.4</v>
      </c>
      <c r="F35" s="35">
        <f t="shared" si="4"/>
        <v>0.4</v>
      </c>
      <c r="G35" s="35">
        <f t="shared" si="4"/>
        <v>0.4</v>
      </c>
      <c r="H35" s="35">
        <f t="shared" si="4"/>
        <v>0.4</v>
      </c>
    </row>
    <row r="36" spans="2:8" ht="15.75" customHeight="1">
      <c r="B36" s="21" t="s">
        <v>140</v>
      </c>
      <c r="C36" s="21" t="s">
        <v>119</v>
      </c>
      <c r="D36" s="34">
        <v>0.5</v>
      </c>
      <c r="E36" s="35">
        <f t="shared" si="4"/>
        <v>0.5</v>
      </c>
      <c r="F36" s="35">
        <f t="shared" si="4"/>
        <v>0.5</v>
      </c>
      <c r="G36" s="35">
        <f t="shared" si="4"/>
        <v>0.5</v>
      </c>
      <c r="H36" s="35">
        <f t="shared" si="4"/>
        <v>0.5</v>
      </c>
    </row>
    <row r="38" spans="2:8" ht="15.75" customHeight="1">
      <c r="B38" s="63" t="s">
        <v>141</v>
      </c>
      <c r="C38" s="64"/>
      <c r="D38" s="64"/>
      <c r="E38" s="64"/>
      <c r="F38" s="64"/>
      <c r="G38" s="64"/>
      <c r="H38" s="64"/>
    </row>
    <row r="39" spans="2:8" ht="15.75" customHeight="1">
      <c r="B39" s="21" t="s">
        <v>142</v>
      </c>
      <c r="C39" s="21" t="s">
        <v>119</v>
      </c>
      <c r="D39" s="34">
        <v>1</v>
      </c>
      <c r="E39" s="35">
        <f t="shared" ref="E39:H43" si="5">D39</f>
        <v>1</v>
      </c>
      <c r="F39" s="35">
        <f t="shared" si="5"/>
        <v>1</v>
      </c>
      <c r="G39" s="35">
        <f t="shared" si="5"/>
        <v>1</v>
      </c>
      <c r="H39" s="35">
        <f t="shared" si="5"/>
        <v>1</v>
      </c>
    </row>
    <row r="40" spans="2:8" ht="15.75" customHeight="1">
      <c r="B40" s="21" t="s">
        <v>69</v>
      </c>
      <c r="C40" s="21" t="s">
        <v>119</v>
      </c>
      <c r="D40" s="34">
        <v>0.21</v>
      </c>
      <c r="E40" s="35">
        <f t="shared" si="5"/>
        <v>0.21</v>
      </c>
      <c r="F40" s="35">
        <f t="shared" si="5"/>
        <v>0.21</v>
      </c>
      <c r="G40" s="35">
        <f t="shared" si="5"/>
        <v>0.21</v>
      </c>
      <c r="H40" s="35">
        <f t="shared" si="5"/>
        <v>0.21</v>
      </c>
    </row>
    <row r="41" spans="2:8" ht="15.75" customHeight="1">
      <c r="B41" s="21" t="s">
        <v>325</v>
      </c>
      <c r="C41" s="21" t="s">
        <v>119</v>
      </c>
      <c r="D41" s="34">
        <v>4.3999999999999997E-2</v>
      </c>
      <c r="E41" s="35">
        <f t="shared" si="5"/>
        <v>4.3999999999999997E-2</v>
      </c>
      <c r="F41" s="35">
        <f t="shared" si="5"/>
        <v>4.3999999999999997E-2</v>
      </c>
      <c r="G41" s="35">
        <f t="shared" si="5"/>
        <v>4.3999999999999997E-2</v>
      </c>
      <c r="H41" s="35">
        <f t="shared" si="5"/>
        <v>4.3999999999999997E-2</v>
      </c>
    </row>
    <row r="42" spans="2:8" ht="15.75" customHeight="1">
      <c r="B42" s="21" t="s">
        <v>143</v>
      </c>
      <c r="C42" s="21" t="s">
        <v>119</v>
      </c>
      <c r="D42" s="34">
        <f>D40+D41*(1-D40)</f>
        <v>0.24475999999999998</v>
      </c>
      <c r="E42" s="35">
        <f t="shared" si="5"/>
        <v>0.24475999999999998</v>
      </c>
      <c r="F42" s="35">
        <f t="shared" si="5"/>
        <v>0.24475999999999998</v>
      </c>
      <c r="G42" s="35">
        <f t="shared" si="5"/>
        <v>0.24475999999999998</v>
      </c>
      <c r="H42" s="35">
        <f t="shared" si="5"/>
        <v>0.24475999999999998</v>
      </c>
    </row>
    <row r="43" spans="2:8" ht="15.75" customHeight="1">
      <c r="B43" s="21" t="s">
        <v>144</v>
      </c>
      <c r="C43" s="21" t="s">
        <v>119</v>
      </c>
      <c r="D43" s="34">
        <v>0.8</v>
      </c>
      <c r="E43" s="35">
        <f t="shared" si="5"/>
        <v>0.8</v>
      </c>
      <c r="F43" s="35">
        <f t="shared" si="5"/>
        <v>0.8</v>
      </c>
      <c r="G43" s="35">
        <f t="shared" si="5"/>
        <v>0.8</v>
      </c>
      <c r="H43" s="35">
        <f t="shared" si="5"/>
        <v>0.8</v>
      </c>
    </row>
    <row r="45" spans="2:8" ht="15.75" customHeight="1">
      <c r="B45" s="63" t="s">
        <v>145</v>
      </c>
      <c r="C45" s="64"/>
      <c r="D45" s="64"/>
      <c r="E45" s="64"/>
      <c r="F45" s="64"/>
      <c r="G45" s="64"/>
      <c r="H45" s="64"/>
    </row>
    <row r="46" spans="2:8" ht="15.75" customHeight="1">
      <c r="B46" s="21" t="s">
        <v>146</v>
      </c>
      <c r="C46" s="21" t="s">
        <v>121</v>
      </c>
      <c r="D46" s="28">
        <v>350000</v>
      </c>
    </row>
    <row r="47" spans="2:8" ht="15.75" customHeight="1">
      <c r="B47" s="21" t="s">
        <v>147</v>
      </c>
      <c r="C47" s="21" t="s">
        <v>119</v>
      </c>
      <c r="D47" s="34">
        <v>0.1</v>
      </c>
      <c r="E47" s="35">
        <f>D47</f>
        <v>0.1</v>
      </c>
      <c r="F47" s="35">
        <f>E47</f>
        <v>0.1</v>
      </c>
      <c r="G47" s="35">
        <f>F47</f>
        <v>0.1</v>
      </c>
      <c r="H47" s="35">
        <f>G47</f>
        <v>0.1</v>
      </c>
    </row>
    <row r="48" spans="2:8" ht="15.75" customHeight="1">
      <c r="B48" s="21" t="s">
        <v>148</v>
      </c>
      <c r="C48" s="21" t="s">
        <v>121</v>
      </c>
      <c r="D48" s="28">
        <v>150000</v>
      </c>
    </row>
    <row r="49" spans="2:8" ht="15.75" customHeight="1">
      <c r="B49" s="21" t="s">
        <v>149</v>
      </c>
      <c r="C49" s="21" t="s">
        <v>119</v>
      </c>
      <c r="D49" s="34">
        <v>0.1</v>
      </c>
      <c r="E49" s="35">
        <f t="shared" ref="E49:H50" si="6">D49</f>
        <v>0.1</v>
      </c>
      <c r="F49" s="35">
        <f t="shared" si="6"/>
        <v>0.1</v>
      </c>
      <c r="G49" s="35">
        <f t="shared" si="6"/>
        <v>0.1</v>
      </c>
      <c r="H49" s="35">
        <f t="shared" si="6"/>
        <v>0.1</v>
      </c>
    </row>
    <row r="50" spans="2:8" ht="15.75" customHeight="1">
      <c r="B50" s="21" t="s">
        <v>150</v>
      </c>
      <c r="C50" s="21" t="s">
        <v>121</v>
      </c>
      <c r="D50" s="34">
        <v>0.05</v>
      </c>
      <c r="E50" s="35">
        <f t="shared" si="6"/>
        <v>0.05</v>
      </c>
      <c r="F50" s="35">
        <f t="shared" si="6"/>
        <v>0.05</v>
      </c>
      <c r="G50" s="35">
        <f t="shared" si="6"/>
        <v>0.05</v>
      </c>
      <c r="H50" s="35">
        <f t="shared" si="6"/>
        <v>0.05</v>
      </c>
    </row>
    <row r="52" spans="2:8" ht="15.75" customHeight="1">
      <c r="B52" s="63" t="s">
        <v>151</v>
      </c>
      <c r="C52" s="64"/>
      <c r="D52" s="64"/>
      <c r="E52" s="64"/>
      <c r="F52" s="64"/>
      <c r="G52" s="64"/>
      <c r="H52" s="64"/>
    </row>
    <row r="53" spans="2:8" ht="15.75" customHeight="1">
      <c r="B53" s="21" t="s">
        <v>152</v>
      </c>
      <c r="C53" s="21" t="s">
        <v>153</v>
      </c>
      <c r="D53" s="28">
        <v>30</v>
      </c>
      <c r="E53" s="29">
        <f t="shared" ref="E53:H54" si="7">D53</f>
        <v>30</v>
      </c>
      <c r="F53" s="29">
        <f t="shared" si="7"/>
        <v>30</v>
      </c>
      <c r="G53" s="29">
        <f t="shared" si="7"/>
        <v>30</v>
      </c>
      <c r="H53" s="29">
        <f t="shared" si="7"/>
        <v>30</v>
      </c>
    </row>
    <row r="54" spans="2:8" ht="15.75" customHeight="1">
      <c r="B54" s="21" t="s">
        <v>154</v>
      </c>
      <c r="C54" s="21" t="s">
        <v>153</v>
      </c>
      <c r="D54" s="28">
        <v>30</v>
      </c>
      <c r="E54" s="29">
        <f t="shared" si="7"/>
        <v>30</v>
      </c>
      <c r="F54" s="29">
        <f t="shared" si="7"/>
        <v>30</v>
      </c>
      <c r="G54" s="29">
        <f t="shared" si="7"/>
        <v>30</v>
      </c>
      <c r="H54" s="29">
        <f t="shared" si="7"/>
        <v>30</v>
      </c>
    </row>
    <row r="56" spans="2:8" ht="15.75" customHeight="1">
      <c r="B56" s="63" t="s">
        <v>155</v>
      </c>
      <c r="C56" s="64"/>
      <c r="D56" s="64"/>
      <c r="E56" s="64"/>
      <c r="F56" s="64"/>
      <c r="G56" s="64"/>
      <c r="H56" s="64"/>
    </row>
    <row r="57" spans="2:8" ht="15.75" customHeight="1">
      <c r="B57" s="21" t="s">
        <v>156</v>
      </c>
      <c r="C57" s="21" t="s">
        <v>138</v>
      </c>
      <c r="D57" s="28">
        <v>20</v>
      </c>
      <c r="E57" s="29">
        <f>D57</f>
        <v>20</v>
      </c>
      <c r="F57" s="29">
        <f>E57</f>
        <v>20</v>
      </c>
      <c r="G57" s="29">
        <f>F57</f>
        <v>20</v>
      </c>
      <c r="H57" s="29">
        <f>G57</f>
        <v>20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6AFF92-7E99-4431-88C0-08C34BAB7084}">
          <x14:formula1>
            <xm:f>MDM!$B$3:$B$12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2:T29"/>
  <sheetViews>
    <sheetView showGridLines="0" zoomScale="50" zoomScaleNormal="100" workbookViewId="0">
      <selection activeCell="B3" sqref="B3"/>
    </sheetView>
  </sheetViews>
  <sheetFormatPr defaultColWidth="8.6328125" defaultRowHeight="14.5"/>
  <cols>
    <col min="1" max="1" width="2.453125" style="86" customWidth="1"/>
    <col min="2" max="2" width="34" style="86" customWidth="1"/>
    <col min="3" max="7" width="15.54296875" style="86" customWidth="1"/>
    <col min="8" max="8" width="13.36328125" style="86" bestFit="1" customWidth="1"/>
    <col min="9" max="16384" width="8.6328125" style="86"/>
  </cols>
  <sheetData>
    <row r="2" spans="2:20" ht="25.5" customHeight="1">
      <c r="B2" s="84" t="s">
        <v>326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2:20" ht="19.5" customHeight="1">
      <c r="B3" s="87" t="s">
        <v>77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5" spans="2:20" ht="19.5" customHeight="1">
      <c r="B5" s="88" t="s">
        <v>323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</row>
    <row r="6" spans="2:20" ht="5" customHeight="1"/>
    <row r="7" spans="2:20" ht="3.75" customHeight="1"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</row>
    <row r="8" spans="2:20" ht="25.5" customHeight="1"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</row>
    <row r="9" spans="2:20" ht="30" customHeight="1">
      <c r="C9" s="91"/>
      <c r="D9" s="92"/>
      <c r="E9" s="92"/>
      <c r="F9" s="91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2:20" ht="13.5" customHeight="1">
      <c r="C10" s="94"/>
      <c r="D10" s="94"/>
      <c r="E10" s="94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</row>
    <row r="15" spans="2:20" ht="19.5" customHeight="1">
      <c r="B15" s="88" t="s">
        <v>318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</row>
    <row r="17" spans="2:20" ht="15.75" customHeight="1">
      <c r="B17" s="96" t="s">
        <v>79</v>
      </c>
      <c r="C17" s="97">
        <f>Assumptions!D7</f>
        <v>46023</v>
      </c>
      <c r="D17" s="97">
        <f>Assumptions!E7</f>
        <v>46388</v>
      </c>
      <c r="E17" s="97">
        <f>Assumptions!F7</f>
        <v>46753</v>
      </c>
      <c r="F17" s="97">
        <f>Assumptions!G7</f>
        <v>47119</v>
      </c>
      <c r="G17" s="98">
        <f>Assumptions!H7</f>
        <v>47484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</row>
    <row r="18" spans="2:20" ht="15" customHeight="1">
      <c r="B18" s="110" t="s">
        <v>81</v>
      </c>
      <c r="C18" s="104">
        <f>Income_Statement!C9</f>
        <v>1690000</v>
      </c>
      <c r="D18" s="104">
        <f>Income_Statement!D9</f>
        <v>3566151.25</v>
      </c>
      <c r="E18" s="104">
        <f>Income_Statement!E9</f>
        <v>6474236.3185937498</v>
      </c>
      <c r="F18" s="104">
        <f>Income_Statement!F9</f>
        <v>9688130.5544883013</v>
      </c>
      <c r="G18" s="105">
        <f>Income_Statement!G9</f>
        <v>13309042.501797818</v>
      </c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</row>
    <row r="19" spans="2:20" ht="15" customHeight="1">
      <c r="B19" s="110" t="s">
        <v>310</v>
      </c>
      <c r="C19" s="106">
        <f>Income_Statement!C16</f>
        <v>0.89437869822485205</v>
      </c>
      <c r="D19" s="106">
        <f>Income_Statement!D16</f>
        <v>0.88838171474078675</v>
      </c>
      <c r="E19" s="106">
        <f>Income_Statement!E16</f>
        <v>0.88447076442962991</v>
      </c>
      <c r="F19" s="106">
        <f>Income_Statement!F16</f>
        <v>0.87966270636617971</v>
      </c>
      <c r="G19" s="107">
        <f>Income_Statement!G16</f>
        <v>0.87401078636037932</v>
      </c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</row>
    <row r="20" spans="2:20" ht="15" customHeight="1">
      <c r="B20" s="110" t="s">
        <v>311</v>
      </c>
      <c r="C20" s="106">
        <f>Income_Statement!C24</f>
        <v>0.54852071005917158</v>
      </c>
      <c r="D20" s="106">
        <f>Income_Statement!D24</f>
        <v>0.68415381989196333</v>
      </c>
      <c r="E20" s="106">
        <f>Income_Statement!E24</f>
        <v>0.74102344952972987</v>
      </c>
      <c r="F20" s="106">
        <f>Income_Statement!F24</f>
        <v>0.76097040331998589</v>
      </c>
      <c r="G20" s="107">
        <f>Income_Statement!G24</f>
        <v>0.76900682947158638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</row>
    <row r="21" spans="2:20" ht="15" customHeight="1">
      <c r="B21" s="110" t="s">
        <v>87</v>
      </c>
      <c r="C21" s="104">
        <f>Income_Statement!C36</f>
        <v>48712.98</v>
      </c>
      <c r="D21" s="104">
        <f>Income_Statement!D36</f>
        <v>548169.14807640039</v>
      </c>
      <c r="E21" s="104">
        <f>Income_Statement!E36</f>
        <v>1203236.2859796607</v>
      </c>
      <c r="F21" s="104">
        <f>Income_Statement!F36</f>
        <v>1586955.6874116377</v>
      </c>
      <c r="G21" s="105">
        <f>Income_Statement!G36</f>
        <v>1214294.0735440874</v>
      </c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</row>
    <row r="22" spans="2:20" ht="15" customHeight="1">
      <c r="B22" s="110" t="s">
        <v>312</v>
      </c>
      <c r="C22" s="106">
        <f>Income_Statement!C37</f>
        <v>2.8824248520710062E-2</v>
      </c>
      <c r="D22" s="106">
        <f>Income_Statement!D37</f>
        <v>0.15371449768890211</v>
      </c>
      <c r="E22" s="106">
        <f>Income_Statement!E37</f>
        <v>0.18584991754533486</v>
      </c>
      <c r="F22" s="106">
        <f>Income_Statement!F37</f>
        <v>0.16380411870858155</v>
      </c>
      <c r="G22" s="107">
        <f>Income_Statement!G37</f>
        <v>9.1238274532526101E-2</v>
      </c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</row>
    <row r="23" spans="2:20" ht="15" customHeight="1">
      <c r="B23" s="110" t="s">
        <v>37</v>
      </c>
      <c r="C23" s="104">
        <f>Balance_Sheet!D12</f>
        <v>11891808.63034521</v>
      </c>
      <c r="D23" s="104">
        <f>Balance_Sheet!E12</f>
        <v>12122284.800833132</v>
      </c>
      <c r="E23" s="104">
        <f>Balance_Sheet!F12</f>
        <v>12751058.236364776</v>
      </c>
      <c r="F23" s="104">
        <f>Balance_Sheet!G12</f>
        <v>13505529.056763297</v>
      </c>
      <c r="G23" s="105">
        <f>Balance_Sheet!H12</f>
        <v>13566696.44500792</v>
      </c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</row>
    <row r="24" spans="2:20" ht="15" customHeight="1">
      <c r="B24" s="110" t="s">
        <v>89</v>
      </c>
      <c r="C24" s="104">
        <f>Balance_Sheet!D15</f>
        <v>6555000</v>
      </c>
      <c r="D24" s="104">
        <f>Balance_Sheet!E15</f>
        <v>12765000</v>
      </c>
      <c r="E24" s="104">
        <f>Balance_Sheet!F15</f>
        <v>21907500</v>
      </c>
      <c r="F24" s="104">
        <f>Balance_Sheet!G15</f>
        <v>30532500</v>
      </c>
      <c r="G24" s="105">
        <f>Balance_Sheet!H15</f>
        <v>38640000</v>
      </c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</row>
    <row r="25" spans="2:20" ht="15" customHeight="1">
      <c r="B25" s="110" t="s">
        <v>91</v>
      </c>
      <c r="C25" s="108">
        <f>'Deploymnet_&amp;_CAPEX_Schedule'!C6</f>
        <v>10</v>
      </c>
      <c r="D25" s="108">
        <f>'Deploymnet_&amp;_CAPEX_Schedule'!D6</f>
        <v>20</v>
      </c>
      <c r="E25" s="108">
        <f>'Deploymnet_&amp;_CAPEX_Schedule'!E6</f>
        <v>35</v>
      </c>
      <c r="F25" s="108">
        <f>'Deploymnet_&amp;_CAPEX_Schedule'!F6</f>
        <v>50</v>
      </c>
      <c r="G25" s="109">
        <f>'Deploymnet_&amp;_CAPEX_Schedule'!G6</f>
        <v>65</v>
      </c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</row>
    <row r="26" spans="2:20" ht="15" customHeight="1">
      <c r="B26" s="110" t="s">
        <v>92</v>
      </c>
      <c r="C26" s="104">
        <f>'Deploymnet_&amp;_CAPEX_Schedule'!C11</f>
        <v>11500000</v>
      </c>
      <c r="D26" s="104">
        <f>'Deploymnet_&amp;_CAPEX_Schedule'!D11</f>
        <v>23000000</v>
      </c>
      <c r="E26" s="104">
        <f>'Deploymnet_&amp;_CAPEX_Schedule'!E11</f>
        <v>40250000</v>
      </c>
      <c r="F26" s="104">
        <f>'Deploymnet_&amp;_CAPEX_Schedule'!F11</f>
        <v>57500000</v>
      </c>
      <c r="G26" s="105">
        <f>'Deploymnet_&amp;_CAPEX_Schedule'!G11</f>
        <v>74750000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</row>
    <row r="27" spans="2:20" ht="15" customHeight="1">
      <c r="B27" s="110" t="s">
        <v>93</v>
      </c>
      <c r="C27" s="104">
        <f>'Deploymnet_&amp;_CAPEX_Schedule'!C17</f>
        <v>4600000</v>
      </c>
      <c r="D27" s="104">
        <f>C27+'Deploymnet_&amp;_CAPEX_Schedule'!D17</f>
        <v>9200000</v>
      </c>
      <c r="E27" s="104">
        <f>D27+'Deploymnet_&amp;_CAPEX_Schedule'!E17</f>
        <v>16100000</v>
      </c>
      <c r="F27" s="104">
        <f>E27+'Deploymnet_&amp;_CAPEX_Schedule'!F17</f>
        <v>23000000</v>
      </c>
      <c r="G27" s="105">
        <f>F27+'Deploymnet_&amp;_CAPEX_Schedule'!G17</f>
        <v>29900000</v>
      </c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</row>
    <row r="29" spans="2:20" ht="19.5" customHeight="1">
      <c r="B29" s="88" t="s">
        <v>101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B1:G37"/>
  <sheetViews>
    <sheetView showGridLines="0" topLeftCell="A16" zoomScale="85" zoomScaleNormal="85" workbookViewId="0">
      <selection activeCell="A2" sqref="A2:XFD2"/>
    </sheetView>
  </sheetViews>
  <sheetFormatPr defaultColWidth="8.7265625" defaultRowHeight="16"/>
  <cols>
    <col min="1" max="1" width="3.6328125" style="21" customWidth="1"/>
    <col min="2" max="2" width="37.08984375" style="21" customWidth="1"/>
    <col min="3" max="3" width="11.90625" style="29" customWidth="1"/>
    <col min="4" max="7" width="13.6328125" style="29" customWidth="1"/>
    <col min="8" max="16384" width="8.7265625" style="21"/>
  </cols>
  <sheetData>
    <row r="1" spans="2:7" ht="30" customHeight="1">
      <c r="C1" s="21"/>
      <c r="D1" s="21"/>
      <c r="E1" s="21"/>
      <c r="F1" s="21"/>
      <c r="G1" s="21"/>
    </row>
    <row r="2" spans="2:7" s="73" customFormat="1" ht="26">
      <c r="B2" s="71" t="s">
        <v>223</v>
      </c>
      <c r="C2" s="71"/>
      <c r="D2" s="71"/>
      <c r="E2" s="71"/>
      <c r="F2" s="71"/>
      <c r="G2" s="71"/>
    </row>
    <row r="3" spans="2:7" s="23" customFormat="1" ht="15.75" customHeight="1">
      <c r="B3" s="24" t="s">
        <v>224</v>
      </c>
      <c r="C3" s="24"/>
      <c r="D3" s="24"/>
      <c r="E3" s="24"/>
      <c r="F3" s="24"/>
      <c r="G3" s="24"/>
    </row>
    <row r="4" spans="2:7" ht="15.75" customHeight="1">
      <c r="B4" s="25" t="s">
        <v>225</v>
      </c>
      <c r="C4" s="26">
        <f>Assumptions!D7</f>
        <v>46023</v>
      </c>
      <c r="D4" s="26">
        <f>Assumptions!E7</f>
        <v>46388</v>
      </c>
      <c r="E4" s="26">
        <f>Assumptions!F7</f>
        <v>46753</v>
      </c>
      <c r="F4" s="26">
        <f>Assumptions!G7</f>
        <v>47119</v>
      </c>
      <c r="G4" s="26">
        <f>Assumptions!H7</f>
        <v>47484</v>
      </c>
    </row>
    <row r="5" spans="2:7" ht="15.75" customHeight="1">
      <c r="C5" s="21"/>
      <c r="D5" s="21"/>
      <c r="E5" s="21"/>
      <c r="F5" s="21"/>
      <c r="G5" s="21"/>
    </row>
    <row r="6" spans="2:7" ht="15.75" customHeight="1">
      <c r="B6" s="21" t="s">
        <v>80</v>
      </c>
      <c r="C6" s="29">
        <f>Revenue_Build!C35</f>
        <v>1190000</v>
      </c>
      <c r="D6" s="29">
        <f>Revenue_Build!D35</f>
        <v>2403651.25</v>
      </c>
      <c r="E6" s="29">
        <f>Revenue_Build!E35</f>
        <v>4236423.8185937498</v>
      </c>
      <c r="F6" s="29">
        <f>Revenue_Build!F35</f>
        <v>6105622.7419883003</v>
      </c>
      <c r="G6" s="29">
        <f>Revenue_Build!G35</f>
        <v>8011971.9939853176</v>
      </c>
    </row>
    <row r="7" spans="2:7" ht="15.75" customHeight="1">
      <c r="B7" s="21" t="s">
        <v>127</v>
      </c>
      <c r="C7" s="29">
        <f>Revenue_Build!C36</f>
        <v>500000</v>
      </c>
      <c r="D7" s="29">
        <f>Revenue_Build!D36</f>
        <v>1012500</v>
      </c>
      <c r="E7" s="29">
        <f>Revenue_Build!E36</f>
        <v>1787812.5</v>
      </c>
      <c r="F7" s="29">
        <f>Revenue_Build!F36</f>
        <v>2582507.8125</v>
      </c>
      <c r="G7" s="29">
        <f>Revenue_Build!G36</f>
        <v>3397070.5078124995</v>
      </c>
    </row>
    <row r="8" spans="2:7" ht="15.75" customHeight="1">
      <c r="B8" s="21" t="s">
        <v>226</v>
      </c>
      <c r="C8" s="29">
        <f>Revenue_Build!C40</f>
        <v>0</v>
      </c>
      <c r="D8" s="29">
        <f>Revenue_Build!D40</f>
        <v>150000</v>
      </c>
      <c r="E8" s="29">
        <f>Revenue_Build!E40</f>
        <v>450000</v>
      </c>
      <c r="F8" s="29">
        <f>Revenue_Build!F40</f>
        <v>1000000</v>
      </c>
      <c r="G8" s="29">
        <f>Revenue_Build!G40</f>
        <v>1900000</v>
      </c>
    </row>
    <row r="9" spans="2:7" ht="15.75" customHeight="1">
      <c r="B9" s="45" t="s">
        <v>81</v>
      </c>
      <c r="C9" s="46">
        <f>SUM(C6:C8)</f>
        <v>1690000</v>
      </c>
      <c r="D9" s="46">
        <f>SUM(D6:D8)</f>
        <v>3566151.25</v>
      </c>
      <c r="E9" s="46">
        <f>SUM(E6:E8)</f>
        <v>6474236.3185937498</v>
      </c>
      <c r="F9" s="46">
        <f>SUM(F6:F8)</f>
        <v>9688130.5544883013</v>
      </c>
      <c r="G9" s="46">
        <f>SUM(G6:G8)</f>
        <v>13309042.501797818</v>
      </c>
    </row>
    <row r="11" spans="2:7" ht="15.75" customHeight="1">
      <c r="B11" s="21" t="s">
        <v>227</v>
      </c>
      <c r="C11" s="29">
        <f>Revenue_Build!C37</f>
        <v>178500</v>
      </c>
      <c r="D11" s="29">
        <f>Revenue_Build!D37</f>
        <v>360547.6875</v>
      </c>
      <c r="E11" s="29">
        <f>Revenue_Build!E37</f>
        <v>635463.5727890624</v>
      </c>
      <c r="F11" s="29">
        <f>Revenue_Build!F37</f>
        <v>915843.41129824508</v>
      </c>
      <c r="G11" s="29">
        <f>Revenue_Build!G37</f>
        <v>1201795.7990977976</v>
      </c>
    </row>
    <row r="12" spans="2:7" ht="15.75" customHeight="1">
      <c r="B12" s="21" t="s">
        <v>228</v>
      </c>
      <c r="C12" s="29">
        <f>Revenue_Build!C41</f>
        <v>0</v>
      </c>
      <c r="D12" s="29">
        <f>Revenue_Build!D41</f>
        <v>37500</v>
      </c>
      <c r="E12" s="29">
        <f>Revenue_Build!E41</f>
        <v>112500</v>
      </c>
      <c r="F12" s="29">
        <f>Revenue_Build!F41</f>
        <v>250000</v>
      </c>
      <c r="G12" s="29">
        <f>Revenue_Build!G41</f>
        <v>475000</v>
      </c>
    </row>
    <row r="13" spans="2:7" ht="15.75" customHeight="1">
      <c r="B13" s="45" t="s">
        <v>229</v>
      </c>
      <c r="C13" s="46">
        <f>SUM(C11:C12)</f>
        <v>178500</v>
      </c>
      <c r="D13" s="46">
        <f>SUM(D11:D12)</f>
        <v>398047.6875</v>
      </c>
      <c r="E13" s="46">
        <f>SUM(E11:E12)</f>
        <v>747963.5727890624</v>
      </c>
      <c r="F13" s="46">
        <f>SUM(F11:F12)</f>
        <v>1165843.4112982452</v>
      </c>
      <c r="G13" s="46">
        <f>SUM(G11:G12)</f>
        <v>1676795.7990977976</v>
      </c>
    </row>
    <row r="14" spans="2:7" ht="15.75" customHeight="1">
      <c r="B14" s="23"/>
      <c r="C14" s="37"/>
      <c r="D14" s="37"/>
      <c r="E14" s="37"/>
      <c r="F14" s="37"/>
      <c r="G14" s="37"/>
    </row>
    <row r="15" spans="2:7" ht="15.75" customHeight="1">
      <c r="B15" s="47" t="s">
        <v>82</v>
      </c>
      <c r="C15" s="48">
        <f>C9-C13</f>
        <v>1511500</v>
      </c>
      <c r="D15" s="48">
        <f>D9-D13</f>
        <v>3168103.5625</v>
      </c>
      <c r="E15" s="48">
        <f>E9-E13</f>
        <v>5726272.745804687</v>
      </c>
      <c r="F15" s="48">
        <f>F9-F13</f>
        <v>8522287.1431900561</v>
      </c>
      <c r="G15" s="48">
        <f>G9-G13</f>
        <v>11632246.702700021</v>
      </c>
    </row>
    <row r="16" spans="2:7" s="49" customFormat="1" ht="15.75" customHeight="1">
      <c r="B16" s="49" t="s">
        <v>83</v>
      </c>
      <c r="C16" s="50">
        <f>C15/C9</f>
        <v>0.89437869822485205</v>
      </c>
      <c r="D16" s="50">
        <f>D15/D9</f>
        <v>0.88838171474078675</v>
      </c>
      <c r="E16" s="50">
        <f>E15/E9</f>
        <v>0.88447076442962991</v>
      </c>
      <c r="F16" s="50">
        <f>F15/F9</f>
        <v>0.87966270636617971</v>
      </c>
      <c r="G16" s="50">
        <f>G15/G9</f>
        <v>0.87401078636037932</v>
      </c>
    </row>
    <row r="18" spans="2:7" ht="15.75" customHeight="1">
      <c r="B18" s="21" t="s">
        <v>230</v>
      </c>
      <c r="C18" s="29">
        <f>Assumptions!$D$46*(1+Assumptions!D47)^0</f>
        <v>350000</v>
      </c>
      <c r="D18" s="29">
        <f>Assumptions!$D$46*(1+Assumptions!E47)^1</f>
        <v>385000.00000000006</v>
      </c>
      <c r="E18" s="29">
        <f>Assumptions!$D$46*(1+Assumptions!F47)^2</f>
        <v>423500.00000000006</v>
      </c>
      <c r="F18" s="29">
        <f>Assumptions!$D$46*(1+Assumptions!G47)^3</f>
        <v>465850.00000000012</v>
      </c>
      <c r="G18" s="29">
        <f>Assumptions!$D$46*(1+Assumptions!H47)^4</f>
        <v>512435.00000000012</v>
      </c>
    </row>
    <row r="19" spans="2:7" ht="15.75" customHeight="1">
      <c r="B19" s="21" t="s">
        <v>231</v>
      </c>
      <c r="C19" s="29">
        <f>Assumptions!$D$48*(1+Assumptions!D49)^0</f>
        <v>150000</v>
      </c>
      <c r="D19" s="29">
        <f>Assumptions!$D$48*(1+Assumptions!E49)^1</f>
        <v>165000</v>
      </c>
      <c r="E19" s="29">
        <f>Assumptions!$D$48*(1+Assumptions!F49)^2</f>
        <v>181500.00000000003</v>
      </c>
      <c r="F19" s="29">
        <f>Assumptions!$D$48*(1+Assumptions!G49)^3</f>
        <v>199650.00000000006</v>
      </c>
      <c r="G19" s="29">
        <f>Assumptions!$D$48*(1+Assumptions!H49)^4</f>
        <v>219615.00000000006</v>
      </c>
    </row>
    <row r="20" spans="2:7" ht="15.75" customHeight="1">
      <c r="B20" s="21" t="s">
        <v>232</v>
      </c>
      <c r="C20" s="29">
        <f>C9*Assumptions!D50</f>
        <v>84500</v>
      </c>
      <c r="D20" s="29">
        <f>D9*Assumptions!E50</f>
        <v>178307.5625</v>
      </c>
      <c r="E20" s="29">
        <f>E9*Assumptions!F50</f>
        <v>323711.81592968752</v>
      </c>
      <c r="F20" s="29">
        <f>F9*Assumptions!G50</f>
        <v>484406.52772441506</v>
      </c>
      <c r="G20" s="29">
        <f>G9*Assumptions!H50</f>
        <v>665452.12508989091</v>
      </c>
    </row>
    <row r="21" spans="2:7" ht="15.75" customHeight="1">
      <c r="B21" s="45" t="s">
        <v>233</v>
      </c>
      <c r="C21" s="46">
        <f>SUM(C18:C20)</f>
        <v>584500</v>
      </c>
      <c r="D21" s="46">
        <f>SUM(D18:D20)</f>
        <v>728307.5625</v>
      </c>
      <c r="E21" s="46">
        <f>SUM(E18:E20)</f>
        <v>928711.81592968758</v>
      </c>
      <c r="F21" s="46">
        <f>SUM(F18:F20)</f>
        <v>1149906.5277244153</v>
      </c>
      <c r="G21" s="46">
        <f>SUM(G18:G20)</f>
        <v>1397502.1250898913</v>
      </c>
    </row>
    <row r="22" spans="2:7" ht="15.75" customHeight="1">
      <c r="D22" s="35"/>
      <c r="E22" s="35"/>
      <c r="F22" s="35"/>
      <c r="G22" s="35"/>
    </row>
    <row r="23" spans="2:7" ht="15.75" customHeight="1">
      <c r="B23" s="47" t="s">
        <v>84</v>
      </c>
      <c r="C23" s="48">
        <f>C15-C21</f>
        <v>927000</v>
      </c>
      <c r="D23" s="48">
        <f>D15-D21</f>
        <v>2439796</v>
      </c>
      <c r="E23" s="48">
        <f>E15-E21</f>
        <v>4797560.9298749994</v>
      </c>
      <c r="F23" s="48">
        <f>F15-F21</f>
        <v>7372380.615465641</v>
      </c>
      <c r="G23" s="48">
        <f>G15-G21</f>
        <v>10234744.577610129</v>
      </c>
    </row>
    <row r="24" spans="2:7" s="50" customFormat="1" ht="15.75" customHeight="1">
      <c r="B24" s="50" t="s">
        <v>85</v>
      </c>
      <c r="C24" s="50">
        <f>C23/C9</f>
        <v>0.54852071005917158</v>
      </c>
      <c r="D24" s="50">
        <f>D23/D9</f>
        <v>0.68415381989196333</v>
      </c>
      <c r="E24" s="50">
        <f>E23/E9</f>
        <v>0.74102344952972987</v>
      </c>
      <c r="F24" s="50">
        <f>F23/F9</f>
        <v>0.76097040331998589</v>
      </c>
      <c r="G24" s="50">
        <f>G23/G9</f>
        <v>0.76900682947158638</v>
      </c>
    </row>
    <row r="25" spans="2:7" s="50" customFormat="1" ht="15.75" customHeight="1"/>
    <row r="26" spans="2:7" ht="15.75" customHeight="1">
      <c r="B26" s="21" t="s">
        <v>86</v>
      </c>
      <c r="C26" s="29">
        <f>Depreciation_ITC!C35</f>
        <v>345000</v>
      </c>
      <c r="D26" s="29">
        <f>Depreciation_ITC!D35</f>
        <v>690000</v>
      </c>
      <c r="E26" s="29">
        <f>Depreciation_ITC!E35</f>
        <v>1207500</v>
      </c>
      <c r="F26" s="29">
        <f>Depreciation_ITC!F35</f>
        <v>1725000</v>
      </c>
      <c r="G26" s="29">
        <f>Depreciation_ITC!G35</f>
        <v>2242500</v>
      </c>
    </row>
    <row r="27" spans="2:7" s="23" customFormat="1" ht="15.75" customHeight="1">
      <c r="B27" s="45" t="s">
        <v>234</v>
      </c>
      <c r="C27" s="46">
        <f>C23-C26</f>
        <v>582000</v>
      </c>
      <c r="D27" s="46">
        <f>D23-D26</f>
        <v>1749796</v>
      </c>
      <c r="E27" s="46">
        <f>E23-E26</f>
        <v>3590060.9298749994</v>
      </c>
      <c r="F27" s="46">
        <f>F23-F26</f>
        <v>5647380.615465641</v>
      </c>
      <c r="G27" s="46">
        <f>G23-G26</f>
        <v>7992244.5776101295</v>
      </c>
    </row>
    <row r="29" spans="2:7" ht="15.75" customHeight="1">
      <c r="B29" s="21" t="s">
        <v>235</v>
      </c>
      <c r="C29" s="29">
        <f>Debt_Schedule!C46</f>
        <v>517500</v>
      </c>
      <c r="D29" s="29">
        <f>Debt_Schedule!D46</f>
        <v>1003071.5573375346</v>
      </c>
      <c r="E29" s="29">
        <f>Debt_Schedule!E46</f>
        <v>1713070.0388129191</v>
      </c>
      <c r="F29" s="29">
        <f>Debt_Schedule!F46</f>
        <v>2370206.9924052595</v>
      </c>
      <c r="G29" s="29">
        <f>Debt_Schedule!G46</f>
        <v>2970517.8035233277</v>
      </c>
    </row>
    <row r="30" spans="2:7" ht="15.75" customHeight="1">
      <c r="B30" s="21" t="s">
        <v>236</v>
      </c>
      <c r="C30" s="29">
        <f>C27-C29</f>
        <v>64500</v>
      </c>
      <c r="D30" s="29">
        <f>D27-D29</f>
        <v>746724.44266246539</v>
      </c>
      <c r="E30" s="29">
        <f>E27-E29</f>
        <v>1876990.8910620804</v>
      </c>
      <c r="F30" s="29">
        <f>F27-F29</f>
        <v>3277173.6230603815</v>
      </c>
      <c r="G30" s="29">
        <f>G27-G29</f>
        <v>5021726.7740868013</v>
      </c>
    </row>
    <row r="31" spans="2:7" ht="15.75" customHeight="1">
      <c r="B31" s="21" t="s">
        <v>237</v>
      </c>
      <c r="C31" s="29">
        <v>0</v>
      </c>
      <c r="D31" s="29">
        <f>C34</f>
        <v>-64500</v>
      </c>
      <c r="E31" s="29">
        <f>D34</f>
        <v>-875724.44266246539</v>
      </c>
      <c r="F31" s="29">
        <f>E34</f>
        <v>-3628439.7763870112</v>
      </c>
      <c r="G31" s="29">
        <f>F34</f>
        <v>-10534053.175834404</v>
      </c>
    </row>
    <row r="32" spans="2:7" ht="15.75" customHeight="1">
      <c r="B32" s="21" t="s">
        <v>238</v>
      </c>
      <c r="C32" s="29">
        <f>IF(C30&gt;0,MIN(C31,C30*Assumptions!D43),0)</f>
        <v>0</v>
      </c>
      <c r="D32" s="29">
        <f>IF(D30&gt;0,MIN(D31,D30*Assumptions!E43),0)</f>
        <v>-64500</v>
      </c>
      <c r="E32" s="29">
        <f>IF(E30&gt;0,MIN(E31,E30*Assumptions!F43),0)</f>
        <v>-875724.44266246539</v>
      </c>
      <c r="F32" s="29">
        <f>IF(F30&gt;0,MIN(F31,F30*Assumptions!G43),0)</f>
        <v>-3628439.7763870112</v>
      </c>
      <c r="G32" s="29">
        <f>IF(G30&gt;0,MIN(G31,G30*Assumptions!H43),0)</f>
        <v>-10534053.175834404</v>
      </c>
    </row>
    <row r="33" spans="2:7" ht="15.75" customHeight="1">
      <c r="B33" s="21" t="s">
        <v>239</v>
      </c>
      <c r="C33" s="29">
        <f>MAX(0,C30-C32)</f>
        <v>64500</v>
      </c>
      <c r="D33" s="29">
        <f>MAX(0,D30-D32)</f>
        <v>811224.44266246539</v>
      </c>
      <c r="E33" s="29">
        <f>MAX(0,E30-E32)</f>
        <v>2752715.3337245458</v>
      </c>
      <c r="F33" s="29">
        <f>MAX(0,F30-F32)</f>
        <v>6905613.3994473927</v>
      </c>
      <c r="G33" s="29">
        <f>MAX(0,G30-G32)</f>
        <v>15555779.949921206</v>
      </c>
    </row>
    <row r="34" spans="2:7" ht="15.75" customHeight="1">
      <c r="B34" s="21" t="s">
        <v>240</v>
      </c>
      <c r="C34" s="29">
        <f>C31-C33+MAX(0,-C30)</f>
        <v>-64500</v>
      </c>
      <c r="D34" s="29">
        <f>D31-D33+MAX(0,-D30)</f>
        <v>-875724.44266246539</v>
      </c>
      <c r="E34" s="29">
        <f>E31-E33+MAX(0,-E30)</f>
        <v>-3628439.7763870112</v>
      </c>
      <c r="F34" s="29">
        <f>F31-F33+MAX(0,-F30)</f>
        <v>-10534053.175834404</v>
      </c>
      <c r="G34" s="29">
        <f>G31-G33+MAX(0,-G30)</f>
        <v>-26089833.125755608</v>
      </c>
    </row>
    <row r="35" spans="2:7" ht="15.75" customHeight="1">
      <c r="B35" s="21" t="s">
        <v>241</v>
      </c>
      <c r="C35" s="29">
        <f>C33*Assumptions!D42</f>
        <v>15787.019999999999</v>
      </c>
      <c r="D35" s="29">
        <f>D33*Assumptions!E42</f>
        <v>198555.29458606502</v>
      </c>
      <c r="E35" s="29">
        <f>E33*Assumptions!F42</f>
        <v>673754.60508241982</v>
      </c>
      <c r="F35" s="29">
        <f>F33*Assumptions!G42</f>
        <v>1690217.9356487438</v>
      </c>
      <c r="G35" s="29">
        <f>G33*Assumptions!H42</f>
        <v>3807432.700542714</v>
      </c>
    </row>
    <row r="36" spans="2:7" s="23" customFormat="1" ht="16.5" customHeight="1">
      <c r="B36" s="51" t="s">
        <v>87</v>
      </c>
      <c r="C36" s="52">
        <f>C30-C35</f>
        <v>48712.98</v>
      </c>
      <c r="D36" s="52">
        <f>D30-D35</f>
        <v>548169.14807640039</v>
      </c>
      <c r="E36" s="52">
        <f>E30-E35</f>
        <v>1203236.2859796607</v>
      </c>
      <c r="F36" s="52">
        <f>F30-F35</f>
        <v>1586955.6874116377</v>
      </c>
      <c r="G36" s="52">
        <f>G30-G35</f>
        <v>1214294.0735440874</v>
      </c>
    </row>
    <row r="37" spans="2:7" s="49" customFormat="1" ht="16.5" customHeight="1">
      <c r="B37" s="49" t="s">
        <v>88</v>
      </c>
      <c r="C37" s="53">
        <f>C36/C9</f>
        <v>2.8824248520710062E-2</v>
      </c>
      <c r="D37" s="53">
        <f>D36/D9</f>
        <v>0.15371449768890211</v>
      </c>
      <c r="E37" s="53">
        <f>E36/E9</f>
        <v>0.18584991754533486</v>
      </c>
      <c r="F37" s="53">
        <f>F36/F9</f>
        <v>0.16380411870858155</v>
      </c>
      <c r="G37" s="53">
        <f>G36/G9</f>
        <v>9.1238274532526101E-2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B1:H31"/>
  <sheetViews>
    <sheetView showGridLines="0" topLeftCell="A17" zoomScale="65" zoomScaleNormal="65" workbookViewId="0">
      <selection activeCell="A2" sqref="A2:XFD2"/>
    </sheetView>
  </sheetViews>
  <sheetFormatPr defaultColWidth="8.7265625" defaultRowHeight="16"/>
  <cols>
    <col min="1" max="1" width="3.6328125" style="21" customWidth="1"/>
    <col min="2" max="2" width="39.26953125" style="21" customWidth="1"/>
    <col min="3" max="3" width="15.6328125" style="21" customWidth="1"/>
    <col min="4" max="4" width="12.90625" style="21" customWidth="1"/>
    <col min="5" max="8" width="13.54296875" style="21" customWidth="1"/>
    <col min="9" max="9" width="108.54296875" style="21" customWidth="1"/>
    <col min="10" max="16384" width="8.7265625" style="21"/>
  </cols>
  <sheetData>
    <row r="1" spans="2:8" ht="30" customHeight="1"/>
    <row r="2" spans="2:8" s="76" customFormat="1" ht="26">
      <c r="B2" s="77" t="s">
        <v>242</v>
      </c>
      <c r="C2" s="77"/>
      <c r="D2" s="77"/>
      <c r="E2" s="77"/>
      <c r="F2" s="77"/>
      <c r="G2" s="77"/>
      <c r="H2" s="77"/>
    </row>
    <row r="3" spans="2:8" ht="15.75" customHeight="1">
      <c r="B3" s="25" t="s">
        <v>243</v>
      </c>
      <c r="C3" s="25"/>
      <c r="D3" s="25"/>
      <c r="E3" s="25"/>
      <c r="F3" s="25"/>
      <c r="G3" s="25"/>
      <c r="H3" s="25"/>
    </row>
    <row r="4" spans="2:8" ht="15.75" customHeight="1">
      <c r="B4" s="25" t="s">
        <v>225</v>
      </c>
      <c r="C4" s="25" t="s">
        <v>244</v>
      </c>
      <c r="D4" s="26">
        <f>Assumptions!D7</f>
        <v>46023</v>
      </c>
      <c r="E4" s="26">
        <f>Assumptions!E7</f>
        <v>46388</v>
      </c>
      <c r="F4" s="26">
        <f>Assumptions!F7</f>
        <v>46753</v>
      </c>
      <c r="G4" s="26">
        <f>Assumptions!G7</f>
        <v>47119</v>
      </c>
      <c r="H4" s="26">
        <f>Assumptions!H7</f>
        <v>47484</v>
      </c>
    </row>
    <row r="6" spans="2:8" s="23" customFormat="1" ht="15.75" customHeight="1">
      <c r="B6" s="23" t="s">
        <v>245</v>
      </c>
      <c r="C6" s="37"/>
      <c r="D6" s="37"/>
      <c r="E6" s="37"/>
      <c r="F6" s="37"/>
      <c r="G6" s="37"/>
      <c r="H6" s="37"/>
    </row>
    <row r="7" spans="2:8" ht="15.75" customHeight="1">
      <c r="B7" s="21" t="s">
        <v>246</v>
      </c>
      <c r="C7" s="28">
        <v>2000000</v>
      </c>
      <c r="D7" s="29"/>
      <c r="E7" s="29"/>
      <c r="F7" s="29"/>
      <c r="G7" s="29"/>
      <c r="H7" s="29"/>
    </row>
    <row r="8" spans="2:8" ht="15.75" customHeight="1">
      <c r="B8" s="21" t="s">
        <v>247</v>
      </c>
      <c r="C8" s="28">
        <v>3500000</v>
      </c>
      <c r="D8" s="29"/>
      <c r="E8" s="29"/>
      <c r="F8" s="29"/>
      <c r="G8" s="29"/>
      <c r="H8" s="29"/>
    </row>
    <row r="9" spans="2:8" ht="15.75" customHeight="1">
      <c r="B9" s="21" t="s">
        <v>248</v>
      </c>
      <c r="C9" s="28">
        <v>-1500000</v>
      </c>
      <c r="D9" s="29"/>
      <c r="E9" s="29"/>
      <c r="F9" s="29"/>
      <c r="G9" s="29"/>
      <c r="H9" s="29"/>
    </row>
    <row r="10" spans="2:8" ht="15.75" customHeight="1">
      <c r="C10" s="29"/>
      <c r="D10" s="29"/>
      <c r="E10" s="29"/>
      <c r="F10" s="29"/>
      <c r="G10" s="29"/>
      <c r="H10" s="29"/>
    </row>
    <row r="11" spans="2:8" s="23" customFormat="1" ht="15.75" customHeight="1">
      <c r="B11" s="23" t="s">
        <v>249</v>
      </c>
      <c r="C11" s="37"/>
      <c r="D11" s="37"/>
      <c r="E11" s="37"/>
      <c r="F11" s="37"/>
      <c r="G11" s="37"/>
      <c r="H11" s="37"/>
    </row>
    <row r="12" spans="2:8" ht="15.75" customHeight="1">
      <c r="B12" s="21" t="s">
        <v>250</v>
      </c>
      <c r="C12" s="29"/>
      <c r="D12" s="29">
        <f>Cash_Flow!C26</f>
        <v>11891808.63034521</v>
      </c>
      <c r="E12" s="29">
        <f>Cash_Flow!D26</f>
        <v>12122284.800833132</v>
      </c>
      <c r="F12" s="29">
        <f>Cash_Flow!E26</f>
        <v>12751058.236364776</v>
      </c>
      <c r="G12" s="29">
        <f>Cash_Flow!F26</f>
        <v>13505529.056763297</v>
      </c>
      <c r="H12" s="29">
        <f>Cash_Flow!G26</f>
        <v>13566696.44500792</v>
      </c>
    </row>
    <row r="13" spans="2:8" ht="15.75" customHeight="1">
      <c r="B13" s="21" t="s">
        <v>251</v>
      </c>
      <c r="C13" s="29"/>
      <c r="D13" s="29">
        <f>Income_Statement!C9/365*(Assumptions!D53)</f>
        <v>138904.10958904109</v>
      </c>
      <c r="E13" s="29">
        <f>Income_Statement!D9/365*(Assumptions!E53)</f>
        <v>293108.32191780821</v>
      </c>
      <c r="F13" s="29">
        <f>Income_Statement!E9/365*(Assumptions!F53)</f>
        <v>532129.01248715748</v>
      </c>
      <c r="G13" s="29">
        <f>Income_Statement!F9/365*(Assumptions!G53)</f>
        <v>796284.70310862758</v>
      </c>
      <c r="H13" s="29">
        <f>Income_Statement!G9/365*(Assumptions!H53)</f>
        <v>1093893.904257355</v>
      </c>
    </row>
    <row r="14" spans="2:8" s="54" customFormat="1" ht="15.75" customHeight="1">
      <c r="B14" s="54" t="s">
        <v>252</v>
      </c>
      <c r="C14" s="55"/>
      <c r="D14" s="55">
        <f>D13-0</f>
        <v>138904.10958904109</v>
      </c>
      <c r="E14" s="55">
        <f>E13-D13</f>
        <v>154204.21232876711</v>
      </c>
      <c r="F14" s="55">
        <f>F13-E13</f>
        <v>239020.69056934927</v>
      </c>
      <c r="G14" s="55">
        <f>G13-F13</f>
        <v>264155.6906214701</v>
      </c>
      <c r="H14" s="55">
        <f>H13-G13</f>
        <v>297609.20114872744</v>
      </c>
    </row>
    <row r="15" spans="2:8" ht="15.75" customHeight="1">
      <c r="B15" s="21" t="s">
        <v>253</v>
      </c>
      <c r="C15" s="29"/>
      <c r="D15" s="29">
        <f>0+('Deploymnet_&amp;_CAPEX_Schedule'!C10-'Deploymnet_&amp;_CAPEX_Schedule'!C17)-Income_Statement!C26</f>
        <v>6555000</v>
      </c>
      <c r="E15" s="29">
        <f>D15+('Deploymnet_&amp;_CAPEX_Schedule'!D10-'Deploymnet_&amp;_CAPEX_Schedule'!D17)-Income_Statement!D26</f>
        <v>12765000</v>
      </c>
      <c r="F15" s="29">
        <f>E15+('Deploymnet_&amp;_CAPEX_Schedule'!E10-'Deploymnet_&amp;_CAPEX_Schedule'!E17)-Income_Statement!E26</f>
        <v>21907500</v>
      </c>
      <c r="G15" s="29">
        <f>F15+('Deploymnet_&amp;_CAPEX_Schedule'!F10-'Deploymnet_&amp;_CAPEX_Schedule'!F17)-Income_Statement!F26</f>
        <v>30532500</v>
      </c>
      <c r="H15" s="29">
        <f>G15+('Deploymnet_&amp;_CAPEX_Schedule'!G10-'Deploymnet_&amp;_CAPEX_Schedule'!G17)-Income_Statement!G26</f>
        <v>38640000</v>
      </c>
    </row>
    <row r="16" spans="2:8" s="23" customFormat="1" ht="15.75" customHeight="1">
      <c r="B16" s="45" t="s">
        <v>254</v>
      </c>
      <c r="C16" s="46"/>
      <c r="D16" s="46">
        <f>D12+D13+D15</f>
        <v>18585712.739934251</v>
      </c>
      <c r="E16" s="46">
        <f>E12+E13+E15</f>
        <v>25180393.122750938</v>
      </c>
      <c r="F16" s="46">
        <f>F12+F13+F15</f>
        <v>35190687.248851933</v>
      </c>
      <c r="G16" s="46">
        <f>G12+G13+G15</f>
        <v>44834313.759871922</v>
      </c>
      <c r="H16" s="46">
        <f>H12+H13+H15</f>
        <v>53300590.349265277</v>
      </c>
    </row>
    <row r="17" spans="2:8" ht="15.75" customHeight="1">
      <c r="C17" s="29"/>
      <c r="D17" s="29"/>
      <c r="E17" s="29"/>
      <c r="F17" s="29"/>
      <c r="G17" s="29"/>
      <c r="H17" s="29"/>
    </row>
    <row r="18" spans="2:8" s="23" customFormat="1" ht="15.75" customHeight="1">
      <c r="B18" s="23" t="s">
        <v>255</v>
      </c>
      <c r="C18" s="37"/>
      <c r="D18" s="37"/>
      <c r="E18" s="37"/>
      <c r="F18" s="37"/>
      <c r="G18" s="37"/>
      <c r="H18" s="37"/>
    </row>
    <row r="19" spans="2:8" ht="15.75" customHeight="1">
      <c r="B19" s="21" t="s">
        <v>256</v>
      </c>
      <c r="C19" s="29"/>
      <c r="D19" s="29">
        <f>(Income_Statement!C13+Income_Statement!C21)/365*(Assumptions!D54)</f>
        <v>62712.328767123283</v>
      </c>
      <c r="E19" s="29">
        <f>(Income_Statement!D13+Income_Statement!D21)/365*(Assumptions!E54)</f>
        <v>92577.143835616444</v>
      </c>
      <c r="F19" s="29">
        <f>(Income_Statement!E13+Income_Statement!E21)/365*(Assumptions!F54)</f>
        <v>137808.93605907532</v>
      </c>
      <c r="G19" s="29">
        <f>(Income_Statement!F13+Income_Statement!F21)/365*(Assumptions!G54)</f>
        <v>190335.61142652002</v>
      </c>
      <c r="H19" s="29">
        <f>(Income_Statement!G13+Income_Statement!G21)/365*(Assumptions!H54)</f>
        <v>252682.02116611146</v>
      </c>
    </row>
    <row r="20" spans="2:8" ht="15.75" customHeight="1">
      <c r="B20" s="21" t="s">
        <v>257</v>
      </c>
      <c r="C20" s="29"/>
      <c r="D20" s="29">
        <f>D19-0</f>
        <v>62712.328767123283</v>
      </c>
      <c r="E20" s="29">
        <f>E19-D19</f>
        <v>29864.815068493161</v>
      </c>
      <c r="F20" s="29">
        <f>F19-E19</f>
        <v>45231.792223458877</v>
      </c>
      <c r="G20" s="29">
        <f>G19-F19</f>
        <v>52526.675367444695</v>
      </c>
      <c r="H20" s="29">
        <f>H19-G19</f>
        <v>62346.409739591443</v>
      </c>
    </row>
    <row r="21" spans="2:8" ht="15.75" customHeight="1">
      <c r="B21" s="21" t="s">
        <v>90</v>
      </c>
      <c r="C21" s="29"/>
      <c r="D21" s="29">
        <f>Debt_Schedule!C49</f>
        <v>6474287.4311671294</v>
      </c>
      <c r="E21" s="29">
        <f>Debt_Schedule!D49</f>
        <v>12490933.850838922</v>
      </c>
      <c r="F21" s="29">
        <f>Debt_Schedule!E49</f>
        <v>21252759.898736797</v>
      </c>
      <c r="G21" s="29">
        <f>Debt_Schedule!F49</f>
        <v>29256904.046977706</v>
      </c>
      <c r="H21" s="29">
        <f>Debt_Schedule!G49</f>
        <v>36446540.153087378</v>
      </c>
    </row>
    <row r="22" spans="2:8" s="23" customFormat="1" ht="15.75" customHeight="1">
      <c r="B22" s="45" t="s">
        <v>258</v>
      </c>
      <c r="C22" s="46"/>
      <c r="D22" s="46">
        <f>D19+D21</f>
        <v>6536999.7599342531</v>
      </c>
      <c r="E22" s="46">
        <f>E19+E21</f>
        <v>12583510.994674539</v>
      </c>
      <c r="F22" s="46">
        <f>F19+F21</f>
        <v>21390568.834795874</v>
      </c>
      <c r="G22" s="46">
        <f>G19+G21</f>
        <v>29447239.658404227</v>
      </c>
      <c r="H22" s="46">
        <f>H19+H21</f>
        <v>36699222.174253486</v>
      </c>
    </row>
    <row r="23" spans="2:8" ht="15.75" customHeight="1">
      <c r="C23" s="29"/>
      <c r="D23" s="29"/>
      <c r="E23" s="29"/>
      <c r="F23" s="29"/>
      <c r="G23" s="29"/>
      <c r="H23" s="29"/>
    </row>
    <row r="24" spans="2:8" s="23" customFormat="1" ht="15.75" customHeight="1">
      <c r="B24" s="23" t="s">
        <v>259</v>
      </c>
      <c r="C24" s="37"/>
      <c r="D24" s="37"/>
      <c r="E24" s="37"/>
      <c r="F24" s="37"/>
      <c r="G24" s="37"/>
      <c r="H24" s="37"/>
    </row>
    <row r="25" spans="2:8" ht="15.75" customHeight="1">
      <c r="B25" s="21" t="s">
        <v>260</v>
      </c>
      <c r="C25" s="29"/>
      <c r="D25" s="29">
        <f>$C$8+Cap_Table!$C$6</f>
        <v>13500000</v>
      </c>
      <c r="E25" s="29">
        <f>$C$8+Cap_Table!$C$6</f>
        <v>13500000</v>
      </c>
      <c r="F25" s="29">
        <f>$C$8+Cap_Table!$C$6</f>
        <v>13500000</v>
      </c>
      <c r="G25" s="29">
        <f>$C$8+Cap_Table!$C$6</f>
        <v>13500000</v>
      </c>
      <c r="H25" s="29">
        <f>$C$8+Cap_Table!$C$6</f>
        <v>13500000</v>
      </c>
    </row>
    <row r="26" spans="2:8" ht="15.75" customHeight="1">
      <c r="B26" s="21" t="s">
        <v>261</v>
      </c>
      <c r="C26" s="29"/>
      <c r="D26" s="29">
        <f>$C$9+Income_Statement!C36</f>
        <v>-1451287.02</v>
      </c>
      <c r="E26" s="29">
        <f>D26+Income_Statement!D36</f>
        <v>-903117.87192359963</v>
      </c>
      <c r="F26" s="29">
        <f>E26+Income_Statement!E36</f>
        <v>300118.41405606107</v>
      </c>
      <c r="G26" s="29">
        <f>F26+Income_Statement!F36</f>
        <v>1887074.1014676988</v>
      </c>
      <c r="H26" s="29">
        <f>G26+Income_Statement!G36</f>
        <v>3101368.1750117862</v>
      </c>
    </row>
    <row r="27" spans="2:8" s="23" customFormat="1" ht="15.75" customHeight="1">
      <c r="B27" s="45" t="s">
        <v>262</v>
      </c>
      <c r="C27" s="46"/>
      <c r="D27" s="46">
        <f>SUM(D25:D26)</f>
        <v>12048712.98</v>
      </c>
      <c r="E27" s="46">
        <f>SUM(E25:E26)</f>
        <v>12596882.128076401</v>
      </c>
      <c r="F27" s="46">
        <f>SUM(F25:F26)</f>
        <v>13800118.414056061</v>
      </c>
      <c r="G27" s="46">
        <f>SUM(G25:G26)</f>
        <v>15387074.101467699</v>
      </c>
      <c r="H27" s="46">
        <f>SUM(H25:H26)</f>
        <v>16601368.175011786</v>
      </c>
    </row>
    <row r="28" spans="2:8" ht="15.75" customHeight="1">
      <c r="C28" s="29"/>
      <c r="D28" s="29"/>
      <c r="E28" s="29"/>
      <c r="F28" s="29"/>
      <c r="G28" s="29"/>
      <c r="H28" s="29"/>
    </row>
    <row r="29" spans="2:8" s="23" customFormat="1" ht="15.75" customHeight="1">
      <c r="B29" s="45" t="s">
        <v>263</v>
      </c>
      <c r="C29" s="46"/>
      <c r="D29" s="46">
        <f>SUM(D22,D27)</f>
        <v>18585712.739934254</v>
      </c>
      <c r="E29" s="46">
        <f>SUM(E22,E27)</f>
        <v>25180393.122750938</v>
      </c>
      <c r="F29" s="46">
        <f>SUM(F22,F27)</f>
        <v>35190687.248851933</v>
      </c>
      <c r="G29" s="46">
        <f>SUM(G22,G27)</f>
        <v>44834313.75987193</v>
      </c>
      <c r="H29" s="46">
        <f>SUM(H22,H27)</f>
        <v>53300590.34926527</v>
      </c>
    </row>
    <row r="30" spans="2:8" ht="15.75" customHeight="1">
      <c r="C30" s="29"/>
      <c r="D30" s="29"/>
      <c r="E30" s="29"/>
      <c r="F30" s="29"/>
      <c r="G30" s="29"/>
      <c r="H30" s="29"/>
    </row>
    <row r="31" spans="2:8" s="49" customFormat="1" ht="15.75" customHeight="1">
      <c r="B31" s="49" t="s">
        <v>264</v>
      </c>
      <c r="C31" s="56">
        <f t="shared" ref="C31:H31" si="0">C16-C29</f>
        <v>0</v>
      </c>
      <c r="D31" s="56">
        <f t="shared" si="0"/>
        <v>0</v>
      </c>
      <c r="E31" s="56">
        <f t="shared" si="0"/>
        <v>0</v>
      </c>
      <c r="F31" s="56">
        <f t="shared" si="0"/>
        <v>0</v>
      </c>
      <c r="G31" s="56">
        <f t="shared" si="0"/>
        <v>0</v>
      </c>
      <c r="H31" s="56">
        <f t="shared" si="0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G27"/>
  <sheetViews>
    <sheetView showGridLines="0" zoomScale="72" zoomScaleNormal="100" workbookViewId="0">
      <selection activeCell="A2" sqref="A2:XFD2"/>
    </sheetView>
  </sheetViews>
  <sheetFormatPr defaultColWidth="8.7265625" defaultRowHeight="16"/>
  <cols>
    <col min="1" max="1" width="3.6328125" style="21" customWidth="1"/>
    <col min="2" max="2" width="48.54296875" style="21" customWidth="1"/>
    <col min="3" max="7" width="13.54296875" style="21" customWidth="1"/>
    <col min="8" max="16384" width="8.7265625" style="21"/>
  </cols>
  <sheetData>
    <row r="1" spans="1:7" ht="30" customHeight="1"/>
    <row r="2" spans="1:7" s="76" customFormat="1" ht="26">
      <c r="B2" s="77" t="s">
        <v>265</v>
      </c>
      <c r="C2" s="77"/>
      <c r="D2" s="77"/>
      <c r="E2" s="77"/>
      <c r="F2" s="77"/>
      <c r="G2" s="77"/>
    </row>
    <row r="3" spans="1:7" ht="15.75" customHeight="1">
      <c r="B3" s="25" t="s">
        <v>266</v>
      </c>
      <c r="C3" s="25"/>
      <c r="D3" s="25"/>
      <c r="E3" s="25"/>
      <c r="F3" s="25"/>
      <c r="G3" s="25"/>
    </row>
    <row r="4" spans="1:7" ht="15.75" customHeight="1">
      <c r="B4" s="25"/>
      <c r="C4" s="26">
        <f>Assumptions!D7</f>
        <v>46023</v>
      </c>
      <c r="D4" s="26">
        <f>Assumptions!E7</f>
        <v>46388</v>
      </c>
      <c r="E4" s="26">
        <f>Assumptions!F7</f>
        <v>46753</v>
      </c>
      <c r="F4" s="26">
        <f>Assumptions!G7</f>
        <v>47119</v>
      </c>
      <c r="G4" s="26">
        <f>Assumptions!H7</f>
        <v>47484</v>
      </c>
    </row>
    <row r="5" spans="1:7" s="29" customFormat="1" ht="15.75" customHeight="1">
      <c r="A5" s="21"/>
      <c r="B5" s="21"/>
    </row>
    <row r="6" spans="1:7" s="29" customFormat="1" ht="15.75" customHeight="1">
      <c r="A6" s="21"/>
      <c r="B6" s="21" t="s">
        <v>267</v>
      </c>
    </row>
    <row r="7" spans="1:7" s="29" customFormat="1" ht="15.75" customHeight="1">
      <c r="A7" s="21"/>
      <c r="B7" s="21" t="s">
        <v>87</v>
      </c>
      <c r="C7" s="29">
        <f>Income_Statement!C36</f>
        <v>48712.98</v>
      </c>
      <c r="D7" s="29">
        <f>Income_Statement!D36</f>
        <v>548169.14807640039</v>
      </c>
      <c r="E7" s="29">
        <f>Income_Statement!E36</f>
        <v>1203236.2859796607</v>
      </c>
      <c r="F7" s="29">
        <f>Income_Statement!F36</f>
        <v>1586955.6874116377</v>
      </c>
      <c r="G7" s="29">
        <f>Income_Statement!G36</f>
        <v>1214294.0735440874</v>
      </c>
    </row>
    <row r="8" spans="1:7" s="29" customFormat="1" ht="15.75" customHeight="1">
      <c r="A8" s="21"/>
      <c r="B8" s="21" t="s">
        <v>268</v>
      </c>
      <c r="C8" s="29">
        <f>Income_Statement!C26</f>
        <v>345000</v>
      </c>
      <c r="D8" s="29">
        <f>Income_Statement!D26</f>
        <v>690000</v>
      </c>
      <c r="E8" s="29">
        <f>Income_Statement!E26</f>
        <v>1207500</v>
      </c>
      <c r="F8" s="29">
        <f>Income_Statement!F26</f>
        <v>1725000</v>
      </c>
      <c r="G8" s="29">
        <f>Income_Statement!G26</f>
        <v>2242500</v>
      </c>
    </row>
    <row r="9" spans="1:7" s="29" customFormat="1" ht="15.75" customHeight="1">
      <c r="A9" s="21"/>
      <c r="B9" s="21" t="s">
        <v>269</v>
      </c>
      <c r="C9" s="29">
        <f>-Balance_Sheet!D14</f>
        <v>-138904.10958904109</v>
      </c>
      <c r="D9" s="29">
        <f>-Balance_Sheet!E14</f>
        <v>-154204.21232876711</v>
      </c>
      <c r="E9" s="29">
        <f>-Balance_Sheet!F14</f>
        <v>-239020.69056934927</v>
      </c>
      <c r="F9" s="29">
        <f>-Balance_Sheet!G14</f>
        <v>-264155.6906214701</v>
      </c>
      <c r="G9" s="29">
        <f>-Balance_Sheet!H14</f>
        <v>-297609.20114872744</v>
      </c>
    </row>
    <row r="10" spans="1:7" s="29" customFormat="1" ht="15.75" customHeight="1">
      <c r="A10" s="21"/>
      <c r="B10" s="21" t="s">
        <v>270</v>
      </c>
      <c r="C10" s="29">
        <f>Balance_Sheet!D20</f>
        <v>62712.328767123283</v>
      </c>
      <c r="D10" s="29">
        <f>Balance_Sheet!E20</f>
        <v>29864.815068493161</v>
      </c>
      <c r="E10" s="29">
        <f>Balance_Sheet!F20</f>
        <v>45231.792223458877</v>
      </c>
      <c r="F10" s="29">
        <f>Balance_Sheet!G20</f>
        <v>52526.675367444695</v>
      </c>
      <c r="G10" s="29">
        <f>Balance_Sheet!H20</f>
        <v>62346.409739591443</v>
      </c>
    </row>
    <row r="11" spans="1:7" s="37" customFormat="1" ht="15.75" customHeight="1">
      <c r="A11" s="23"/>
      <c r="B11" s="45" t="s">
        <v>271</v>
      </c>
      <c r="C11" s="46">
        <f>SUM(C7:C10)</f>
        <v>317521.19917808217</v>
      </c>
      <c r="D11" s="46">
        <f>SUM(D7:D10)</f>
        <v>1113829.7508161264</v>
      </c>
      <c r="E11" s="46">
        <f>SUM(E7:E10)</f>
        <v>2216947.3876337707</v>
      </c>
      <c r="F11" s="46">
        <f>SUM(F7:F10)</f>
        <v>3100326.6721576126</v>
      </c>
      <c r="G11" s="46">
        <f>SUM(G7:G10)</f>
        <v>3221531.2821349516</v>
      </c>
    </row>
    <row r="12" spans="1:7" s="29" customFormat="1" ht="15.75" customHeight="1">
      <c r="A12" s="21"/>
      <c r="B12" s="21"/>
    </row>
    <row r="13" spans="1:7" s="29" customFormat="1" ht="15.75" customHeight="1">
      <c r="A13" s="21"/>
      <c r="B13" s="21" t="s">
        <v>272</v>
      </c>
    </row>
    <row r="14" spans="1:7" s="29" customFormat="1" ht="15.75" customHeight="1">
      <c r="A14" s="21"/>
      <c r="B14" s="21" t="s">
        <v>273</v>
      </c>
      <c r="C14" s="29">
        <f>-'Deploymnet_&amp;_CAPEX_Schedule'!C10</f>
        <v>-11500000</v>
      </c>
      <c r="D14" s="29">
        <f>-'Deploymnet_&amp;_CAPEX_Schedule'!D10</f>
        <v>-11500000</v>
      </c>
      <c r="E14" s="29">
        <f>-'Deploymnet_&amp;_CAPEX_Schedule'!E10</f>
        <v>-17250000</v>
      </c>
      <c r="F14" s="29">
        <f>-'Deploymnet_&amp;_CAPEX_Schedule'!F10</f>
        <v>-17250000</v>
      </c>
      <c r="G14" s="29">
        <f>-'Deploymnet_&amp;_CAPEX_Schedule'!G10</f>
        <v>-17250000</v>
      </c>
    </row>
    <row r="15" spans="1:7" s="29" customFormat="1" ht="15.75" customHeight="1">
      <c r="A15" s="21"/>
      <c r="B15" s="21" t="s">
        <v>274</v>
      </c>
      <c r="C15" s="29">
        <f>'Deploymnet_&amp;_CAPEX_Schedule'!C17</f>
        <v>4600000</v>
      </c>
      <c r="D15" s="29">
        <f>'Deploymnet_&amp;_CAPEX_Schedule'!D17</f>
        <v>4600000</v>
      </c>
      <c r="E15" s="29">
        <f>'Deploymnet_&amp;_CAPEX_Schedule'!E17</f>
        <v>6900000</v>
      </c>
      <c r="F15" s="29">
        <f>'Deploymnet_&amp;_CAPEX_Schedule'!F17</f>
        <v>6900000</v>
      </c>
      <c r="G15" s="29">
        <f>'Deploymnet_&amp;_CAPEX_Schedule'!G17</f>
        <v>6900000</v>
      </c>
    </row>
    <row r="16" spans="1:7" s="37" customFormat="1" ht="15.75" customHeight="1">
      <c r="A16" s="23"/>
      <c r="B16" s="45" t="s">
        <v>275</v>
      </c>
      <c r="C16" s="46">
        <f>SUM(C14:C15)</f>
        <v>-6900000</v>
      </c>
      <c r="D16" s="46">
        <f>SUM(D14:D15)</f>
        <v>-6900000</v>
      </c>
      <c r="E16" s="46">
        <f>SUM(E14:E15)</f>
        <v>-10350000</v>
      </c>
      <c r="F16" s="46">
        <f>SUM(F14:F15)</f>
        <v>-10350000</v>
      </c>
      <c r="G16" s="46">
        <f>SUM(G14:G15)</f>
        <v>-10350000</v>
      </c>
    </row>
    <row r="17" spans="1:7" s="29" customFormat="1" ht="15.75" customHeight="1">
      <c r="A17" s="21"/>
      <c r="B17" s="21"/>
    </row>
    <row r="18" spans="1:7" s="29" customFormat="1" ht="15.75" customHeight="1">
      <c r="A18" s="21"/>
      <c r="B18" s="21" t="s">
        <v>276</v>
      </c>
    </row>
    <row r="19" spans="1:7" s="29" customFormat="1" ht="15.75" customHeight="1">
      <c r="A19" s="21"/>
      <c r="B19" s="21" t="s">
        <v>277</v>
      </c>
      <c r="C19" s="29">
        <f>Cap_Table!C6</f>
        <v>10000000</v>
      </c>
    </row>
    <row r="20" spans="1:7" s="29" customFormat="1" ht="15.75" customHeight="1">
      <c r="A20" s="21"/>
      <c r="B20" s="21" t="s">
        <v>278</v>
      </c>
      <c r="C20" s="29">
        <f>Debt_Schedule!C48</f>
        <v>6900000</v>
      </c>
      <c r="D20" s="29">
        <f>Debt_Schedule!D48</f>
        <v>6900000</v>
      </c>
      <c r="E20" s="29">
        <f>Debt_Schedule!E48</f>
        <v>10350000</v>
      </c>
      <c r="F20" s="29">
        <f>Debt_Schedule!F48</f>
        <v>10350000</v>
      </c>
      <c r="G20" s="29">
        <f>Debt_Schedule!G48</f>
        <v>10350000</v>
      </c>
    </row>
    <row r="21" spans="1:7" s="29" customFormat="1" ht="15.75" customHeight="1">
      <c r="A21" s="21"/>
      <c r="B21" s="21" t="s">
        <v>279</v>
      </c>
      <c r="C21" s="29">
        <f>-Debt_Schedule!C47</f>
        <v>-425712.56883287022</v>
      </c>
      <c r="D21" s="29">
        <f>-Debt_Schedule!D47</f>
        <v>-883353.58032820583</v>
      </c>
      <c r="E21" s="29">
        <f>-Debt_Schedule!E47</f>
        <v>-1588173.952102127</v>
      </c>
      <c r="F21" s="29">
        <f>-Debt_Schedule!F47</f>
        <v>-2345855.851759092</v>
      </c>
      <c r="G21" s="29">
        <f>-Debt_Schedule!G47</f>
        <v>-3160363.8938903296</v>
      </c>
    </row>
    <row r="22" spans="1:7" s="37" customFormat="1" ht="15.75" customHeight="1">
      <c r="A22" s="23"/>
      <c r="B22" s="45" t="s">
        <v>280</v>
      </c>
      <c r="C22" s="46">
        <f>SUM(C19:C21)</f>
        <v>16474287.431167129</v>
      </c>
      <c r="D22" s="46">
        <f>SUM(D19:D21)</f>
        <v>6016646.4196717944</v>
      </c>
      <c r="E22" s="46">
        <f>SUM(E19:E21)</f>
        <v>8761826.0478978734</v>
      </c>
      <c r="F22" s="46">
        <f>SUM(F19:F21)</f>
        <v>8004144.148240908</v>
      </c>
      <c r="G22" s="46">
        <f>SUM(G19:G21)</f>
        <v>7189636.1061096704</v>
      </c>
    </row>
    <row r="23" spans="1:7" s="29" customFormat="1" ht="15.75" customHeight="1">
      <c r="A23" s="21"/>
      <c r="B23" s="21"/>
    </row>
    <row r="24" spans="1:7" s="29" customFormat="1" ht="15.75" customHeight="1">
      <c r="A24" s="21"/>
      <c r="B24" s="21" t="s">
        <v>281</v>
      </c>
      <c r="C24" s="29">
        <f>SUM(C11,C16,C22)</f>
        <v>9891808.6303452104</v>
      </c>
      <c r="D24" s="29">
        <f>SUM(D11,D16,D22)</f>
        <v>230476.17048792075</v>
      </c>
      <c r="E24" s="29">
        <f>SUM(E11,E16,E22)</f>
        <v>628773.43553164415</v>
      </c>
      <c r="F24" s="29">
        <f>SUM(F11,F16,F22)</f>
        <v>754470.82039852068</v>
      </c>
      <c r="G24" s="29">
        <f>SUM(G11,G16,G22)</f>
        <v>61167.388244622387</v>
      </c>
    </row>
    <row r="25" spans="1:7" ht="15.75" customHeight="1">
      <c r="B25" s="21" t="s">
        <v>282</v>
      </c>
      <c r="C25" s="29">
        <f>Balance_Sheet!C7</f>
        <v>2000000</v>
      </c>
      <c r="D25" s="29">
        <f>C26</f>
        <v>11891808.63034521</v>
      </c>
      <c r="E25" s="29">
        <f>D26</f>
        <v>12122284.800833132</v>
      </c>
      <c r="F25" s="29">
        <f>E26</f>
        <v>12751058.236364776</v>
      </c>
      <c r="G25" s="29">
        <f>F26</f>
        <v>13505529.056763297</v>
      </c>
    </row>
    <row r="26" spans="1:7" s="23" customFormat="1" ht="16.5" customHeight="1">
      <c r="B26" s="51" t="s">
        <v>283</v>
      </c>
      <c r="C26" s="52">
        <f>SUM(C24:C25)</f>
        <v>11891808.63034521</v>
      </c>
      <c r="D26" s="52">
        <f>SUM(D24:D25)</f>
        <v>12122284.800833132</v>
      </c>
      <c r="E26" s="52">
        <f>SUM(E24:E25)</f>
        <v>12751058.236364776</v>
      </c>
      <c r="F26" s="52">
        <f>SUM(F24:F25)</f>
        <v>13505529.056763297</v>
      </c>
      <c r="G26" s="52">
        <f>SUM(G24:G25)</f>
        <v>13566696.44500792</v>
      </c>
    </row>
    <row r="27" spans="1:7" ht="16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B1:Z22"/>
  <sheetViews>
    <sheetView showGridLines="0" zoomScale="61" zoomScaleNormal="61" workbookViewId="0">
      <selection activeCell="C3" sqref="C3:G3"/>
    </sheetView>
  </sheetViews>
  <sheetFormatPr defaultColWidth="8.7265625" defaultRowHeight="16"/>
  <cols>
    <col min="1" max="1" width="3.6328125" style="21" customWidth="1"/>
    <col min="2" max="2" width="51.26953125" style="21" customWidth="1"/>
    <col min="3" max="7" width="12.6328125" style="21" customWidth="1"/>
    <col min="8" max="16384" width="8.7265625" style="21"/>
  </cols>
  <sheetData>
    <row r="1" spans="2:26" ht="30" customHeight="1"/>
    <row r="2" spans="2:26" s="73" customFormat="1" ht="26">
      <c r="B2" s="71" t="s">
        <v>157</v>
      </c>
      <c r="C2" s="71"/>
      <c r="D2" s="71"/>
      <c r="E2" s="71"/>
      <c r="F2" s="71"/>
      <c r="G2" s="71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2:26" ht="15.75" customHeight="1">
      <c r="B3" s="25" t="s">
        <v>158</v>
      </c>
      <c r="C3" s="26">
        <f>Assumptions!D7</f>
        <v>46023</v>
      </c>
      <c r="D3" s="26">
        <f>Assumptions!E7</f>
        <v>46388</v>
      </c>
      <c r="E3" s="26">
        <f>Assumptions!F7</f>
        <v>46753</v>
      </c>
      <c r="F3" s="26">
        <f>Assumptions!G7</f>
        <v>47119</v>
      </c>
      <c r="G3" s="26">
        <f>Assumptions!H7</f>
        <v>47484</v>
      </c>
    </row>
    <row r="4" spans="2:26" ht="15.75" customHeight="1">
      <c r="B4" s="63" t="s">
        <v>159</v>
      </c>
      <c r="C4" s="64"/>
      <c r="D4" s="64"/>
      <c r="E4" s="64"/>
      <c r="F4" s="64"/>
      <c r="G4" s="64"/>
      <c r="H4" s="38"/>
    </row>
    <row r="5" spans="2:26" ht="15.75" customHeight="1">
      <c r="B5" s="21" t="s">
        <v>160</v>
      </c>
      <c r="C5" s="29">
        <f>Assumptions!D10</f>
        <v>10</v>
      </c>
      <c r="D5" s="29">
        <f>Assumptions!E10</f>
        <v>10</v>
      </c>
      <c r="E5" s="29">
        <f>Assumptions!F10</f>
        <v>15</v>
      </c>
      <c r="F5" s="29">
        <f>Assumptions!G10</f>
        <v>15</v>
      </c>
      <c r="G5" s="29">
        <f>Assumptions!H10</f>
        <v>15</v>
      </c>
    </row>
    <row r="6" spans="2:26" ht="15.75" customHeight="1">
      <c r="B6" s="21" t="s">
        <v>111</v>
      </c>
      <c r="C6" s="29">
        <f>Assumptions!D11</f>
        <v>10</v>
      </c>
      <c r="D6" s="29">
        <f>Assumptions!E11</f>
        <v>20</v>
      </c>
      <c r="E6" s="29">
        <f>Assumptions!F11</f>
        <v>35</v>
      </c>
      <c r="F6" s="29">
        <f>Assumptions!G11</f>
        <v>50</v>
      </c>
      <c r="G6" s="29">
        <f>Assumptions!H11</f>
        <v>65</v>
      </c>
    </row>
    <row r="7" spans="2:26" ht="15.75" customHeight="1">
      <c r="B7" s="21" t="s">
        <v>161</v>
      </c>
      <c r="C7" s="29">
        <f>Assumptions!D17</f>
        <v>1150000</v>
      </c>
      <c r="D7" s="29">
        <f>Assumptions!E17</f>
        <v>1150000</v>
      </c>
      <c r="E7" s="29">
        <f>Assumptions!F17</f>
        <v>1150000</v>
      </c>
      <c r="F7" s="29">
        <f>Assumptions!G17</f>
        <v>1150000</v>
      </c>
      <c r="G7" s="29">
        <f>Assumptions!H17</f>
        <v>1150000</v>
      </c>
    </row>
    <row r="8" spans="2:26" ht="15.75" customHeight="1">
      <c r="C8" s="29"/>
      <c r="D8" s="29"/>
      <c r="E8" s="29"/>
      <c r="F8" s="29"/>
      <c r="G8" s="29"/>
    </row>
    <row r="9" spans="2:26" ht="15.75" customHeight="1">
      <c r="B9" s="63" t="s">
        <v>162</v>
      </c>
      <c r="C9" s="64"/>
      <c r="D9" s="64"/>
      <c r="E9" s="64"/>
      <c r="F9" s="64"/>
      <c r="G9" s="64"/>
      <c r="H9" s="38"/>
    </row>
    <row r="10" spans="2:26" ht="15.75" customHeight="1">
      <c r="B10" s="21" t="s">
        <v>163</v>
      </c>
      <c r="C10" s="29">
        <f>C7*C5</f>
        <v>11500000</v>
      </c>
      <c r="D10" s="29">
        <f>D7*D5</f>
        <v>11500000</v>
      </c>
      <c r="E10" s="29">
        <f>E7*E5</f>
        <v>17250000</v>
      </c>
      <c r="F10" s="29">
        <f>F7*F5</f>
        <v>17250000</v>
      </c>
      <c r="G10" s="29">
        <f>G7*G5</f>
        <v>17250000</v>
      </c>
    </row>
    <row r="11" spans="2:26" ht="15.75" customHeight="1">
      <c r="B11" s="21" t="s">
        <v>164</v>
      </c>
      <c r="C11" s="29">
        <f>C10</f>
        <v>11500000</v>
      </c>
      <c r="D11" s="29">
        <f>C11+D10</f>
        <v>23000000</v>
      </c>
      <c r="E11" s="29">
        <f>D11+E10</f>
        <v>40250000</v>
      </c>
      <c r="F11" s="29">
        <f>E11+F10</f>
        <v>57500000</v>
      </c>
      <c r="G11" s="29">
        <f>F11+G10</f>
        <v>74750000</v>
      </c>
    </row>
    <row r="12" spans="2:26" ht="15.75" customHeight="1">
      <c r="C12" s="29"/>
      <c r="D12" s="29"/>
      <c r="E12" s="29"/>
      <c r="F12" s="29"/>
      <c r="G12" s="29"/>
    </row>
    <row r="13" spans="2:26" ht="15.75" customHeight="1">
      <c r="B13" s="63" t="s">
        <v>165</v>
      </c>
      <c r="C13" s="64"/>
      <c r="D13" s="64"/>
      <c r="E13" s="64"/>
      <c r="F13" s="64"/>
      <c r="G13" s="64"/>
      <c r="H13" s="38"/>
    </row>
    <row r="14" spans="2:26" ht="15.75" customHeight="1">
      <c r="B14" s="21" t="s">
        <v>166</v>
      </c>
      <c r="C14" s="29">
        <f>C10*Assumptions!D31</f>
        <v>6900000</v>
      </c>
      <c r="D14" s="29">
        <f>D10*Assumptions!E31</f>
        <v>6900000</v>
      </c>
      <c r="E14" s="29">
        <f>E10*Assumptions!F31</f>
        <v>10350000</v>
      </c>
      <c r="F14" s="29">
        <f>F10*Assumptions!G31</f>
        <v>10350000</v>
      </c>
      <c r="G14" s="29">
        <f>G10*Assumptions!H31</f>
        <v>10350000</v>
      </c>
    </row>
    <row r="15" spans="2:26" ht="15.75" customHeight="1">
      <c r="B15" s="21" t="s">
        <v>167</v>
      </c>
      <c r="C15" s="29">
        <f>C10*Assumptions!D32</f>
        <v>4600000</v>
      </c>
      <c r="D15" s="29">
        <f>D10*Assumptions!E32</f>
        <v>4600000</v>
      </c>
      <c r="E15" s="29">
        <f>E10*Assumptions!F32</f>
        <v>6900000</v>
      </c>
      <c r="F15" s="29">
        <f>F10*Assumptions!G32</f>
        <v>6900000</v>
      </c>
      <c r="G15" s="29">
        <f>G10*Assumptions!H32</f>
        <v>6900000</v>
      </c>
    </row>
    <row r="16" spans="2:26" ht="15.75" customHeight="1">
      <c r="B16" s="21" t="s">
        <v>168</v>
      </c>
      <c r="C16" s="29">
        <f>C10</f>
        <v>11500000</v>
      </c>
      <c r="D16" s="29">
        <f>D10</f>
        <v>11500000</v>
      </c>
      <c r="E16" s="29">
        <f>E10</f>
        <v>17250000</v>
      </c>
      <c r="F16" s="29">
        <f>F10</f>
        <v>17250000</v>
      </c>
      <c r="G16" s="29">
        <f>G10</f>
        <v>17250000</v>
      </c>
    </row>
    <row r="17" spans="2:8" ht="15.75" customHeight="1">
      <c r="B17" s="21" t="s">
        <v>169</v>
      </c>
      <c r="C17" s="29">
        <f>C16*Assumptions!D35</f>
        <v>4600000</v>
      </c>
      <c r="D17" s="29">
        <f>D16*Assumptions!E35</f>
        <v>4600000</v>
      </c>
      <c r="E17" s="29">
        <f>E16*Assumptions!F35</f>
        <v>6900000</v>
      </c>
      <c r="F17" s="29">
        <f>F16*Assumptions!G35</f>
        <v>6900000</v>
      </c>
      <c r="G17" s="29">
        <f>G16*Assumptions!H35</f>
        <v>6900000</v>
      </c>
    </row>
    <row r="18" spans="2:8" ht="15.75" customHeight="1">
      <c r="B18" s="21" t="s">
        <v>170</v>
      </c>
      <c r="C18" s="29"/>
      <c r="D18" s="29"/>
      <c r="E18" s="29"/>
      <c r="F18" s="29"/>
      <c r="G18" s="29"/>
    </row>
    <row r="19" spans="2:8" ht="15.75" customHeight="1">
      <c r="C19" s="29"/>
      <c r="D19" s="29"/>
      <c r="E19" s="29"/>
      <c r="F19" s="29"/>
      <c r="G19" s="29"/>
    </row>
    <row r="20" spans="2:8" ht="15.75" customHeight="1">
      <c r="B20" s="63" t="s">
        <v>171</v>
      </c>
      <c r="C20" s="64"/>
      <c r="D20" s="64"/>
      <c r="E20" s="64"/>
      <c r="F20" s="64"/>
      <c r="G20" s="64"/>
      <c r="H20" s="38"/>
    </row>
    <row r="21" spans="2:8" ht="15.75" customHeight="1">
      <c r="B21" s="21" t="s">
        <v>172</v>
      </c>
      <c r="C21" s="29">
        <f>C10-C17*Assumptions!D36</f>
        <v>9200000</v>
      </c>
      <c r="D21" s="29">
        <f>D10-D17*Assumptions!E36</f>
        <v>9200000</v>
      </c>
      <c r="E21" s="29">
        <f>E10-E17*Assumptions!F36</f>
        <v>13800000</v>
      </c>
      <c r="F21" s="29">
        <f>F10-F17*Assumptions!G36</f>
        <v>13800000</v>
      </c>
      <c r="G21" s="29">
        <f>G10-G17*Assumptions!H36</f>
        <v>13800000</v>
      </c>
    </row>
    <row r="22" spans="2:8" ht="15.75" customHeight="1">
      <c r="B22" s="21" t="s">
        <v>173</v>
      </c>
      <c r="C22" s="29">
        <f>C10-C17</f>
        <v>6900000</v>
      </c>
      <c r="D22" s="29">
        <f>D10-D17</f>
        <v>6900000</v>
      </c>
      <c r="E22" s="29">
        <f>E10-E17</f>
        <v>10350000</v>
      </c>
      <c r="F22" s="29">
        <f>F10-F17</f>
        <v>10350000</v>
      </c>
      <c r="G22" s="29">
        <f>G10-G17</f>
        <v>10350000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</sheetPr>
  <dimension ref="B1:H49"/>
  <sheetViews>
    <sheetView showGridLines="0" zoomScale="75" zoomScaleNormal="75" workbookViewId="0">
      <selection activeCell="A2" sqref="A2:XFD2"/>
    </sheetView>
  </sheetViews>
  <sheetFormatPr defaultColWidth="8.7265625" defaultRowHeight="16"/>
  <cols>
    <col min="1" max="1" width="3.6328125" style="21" customWidth="1"/>
    <col min="2" max="2" width="38.453125" style="21" customWidth="1"/>
    <col min="3" max="7" width="12.6328125" style="29" customWidth="1"/>
    <col min="8" max="16384" width="8.7265625" style="21"/>
  </cols>
  <sheetData>
    <row r="1" spans="2:8" ht="30" customHeight="1">
      <c r="C1" s="21"/>
      <c r="D1" s="21"/>
      <c r="E1" s="21"/>
      <c r="F1" s="21"/>
      <c r="G1" s="21"/>
    </row>
    <row r="2" spans="2:8" s="76" customFormat="1" ht="26">
      <c r="B2" s="77" t="s">
        <v>174</v>
      </c>
      <c r="C2" s="77"/>
      <c r="D2" s="77"/>
      <c r="E2" s="77"/>
      <c r="F2" s="77"/>
      <c r="G2" s="77"/>
    </row>
    <row r="3" spans="2:8" ht="15.75" customHeight="1">
      <c r="B3" s="25"/>
      <c r="C3" s="25"/>
      <c r="D3" s="25"/>
      <c r="E3" s="25"/>
      <c r="F3" s="25"/>
      <c r="G3" s="25"/>
    </row>
    <row r="4" spans="2:8" ht="15.75" customHeight="1">
      <c r="B4" s="25" t="s">
        <v>175</v>
      </c>
      <c r="C4" s="26">
        <f>Assumptions!D7</f>
        <v>46023</v>
      </c>
      <c r="D4" s="26">
        <f>Assumptions!E7</f>
        <v>46388</v>
      </c>
      <c r="E4" s="26">
        <f>Assumptions!F7</f>
        <v>46753</v>
      </c>
      <c r="F4" s="26">
        <f>Assumptions!G7</f>
        <v>47119</v>
      </c>
      <c r="G4" s="26">
        <f>Assumptions!H7</f>
        <v>47484</v>
      </c>
    </row>
    <row r="5" spans="2:8" ht="15.75" customHeight="1">
      <c r="B5" s="63" t="s">
        <v>176</v>
      </c>
      <c r="C5" s="64"/>
      <c r="D5" s="64"/>
      <c r="E5" s="64"/>
      <c r="F5" s="64"/>
      <c r="G5" s="64"/>
      <c r="H5" s="38"/>
    </row>
    <row r="6" spans="2:8" ht="15.75" customHeight="1">
      <c r="B6" s="21" t="s">
        <v>177</v>
      </c>
      <c r="C6" s="29">
        <f>'Deploymnet_&amp;_CAPEX_Schedule'!C14</f>
        <v>6900000</v>
      </c>
    </row>
    <row r="7" spans="2:8" ht="15.75" customHeight="1">
      <c r="B7" s="21" t="s">
        <v>178</v>
      </c>
      <c r="C7" s="29">
        <f>-PMT(Assumptions!D33,Assumptions!D34,Debt_Schedule!C6)</f>
        <v>943212.56883287022</v>
      </c>
    </row>
    <row r="8" spans="2:8" ht="15.75" customHeight="1">
      <c r="B8" s="23" t="s">
        <v>179</v>
      </c>
      <c r="C8" s="37">
        <f>C6</f>
        <v>6900000</v>
      </c>
      <c r="D8" s="37">
        <f>C11</f>
        <v>6474287.4311671294</v>
      </c>
      <c r="E8" s="37">
        <f>D11</f>
        <v>6016646.4196717935</v>
      </c>
      <c r="F8" s="37">
        <f>E11</f>
        <v>5524682.3323143078</v>
      </c>
      <c r="G8" s="37">
        <f>F11</f>
        <v>4995820.9384050108</v>
      </c>
    </row>
    <row r="9" spans="2:8" ht="15.75" customHeight="1">
      <c r="B9" s="21" t="s">
        <v>180</v>
      </c>
      <c r="C9" s="29">
        <f>C8*Assumptions!D33</f>
        <v>517500</v>
      </c>
      <c r="D9" s="29">
        <f>D8*Assumptions!E33</f>
        <v>485571.55733753467</v>
      </c>
      <c r="E9" s="29">
        <f>E8*Assumptions!F33</f>
        <v>451248.4814753845</v>
      </c>
      <c r="F9" s="29">
        <f>F8*Assumptions!G33</f>
        <v>414351.1749235731</v>
      </c>
      <c r="G9" s="29">
        <f>G8*Assumptions!H33</f>
        <v>374686.57038037578</v>
      </c>
    </row>
    <row r="10" spans="2:8" ht="15.75" customHeight="1">
      <c r="B10" s="21" t="s">
        <v>181</v>
      </c>
      <c r="C10" s="29">
        <f>MIN($C$7-C9,$C$8)</f>
        <v>425712.56883287022</v>
      </c>
      <c r="D10" s="29">
        <f>MIN($C$7-D9,$C$8)</f>
        <v>457641.01149533555</v>
      </c>
      <c r="E10" s="29">
        <f>MIN($C$7-E9,$C$8)</f>
        <v>491964.08735748573</v>
      </c>
      <c r="F10" s="29">
        <f>MIN($C$7-F9,$C$8)</f>
        <v>528861.39390929719</v>
      </c>
      <c r="G10" s="29">
        <f>MIN($C$7-G9,$C$8)</f>
        <v>568525.99845249439</v>
      </c>
    </row>
    <row r="11" spans="2:8" ht="15.75" customHeight="1">
      <c r="B11" s="23" t="s">
        <v>182</v>
      </c>
      <c r="C11" s="37">
        <f>C8-C10</f>
        <v>6474287.4311671294</v>
      </c>
      <c r="D11" s="37">
        <f>D8-D10</f>
        <v>6016646.4196717935</v>
      </c>
      <c r="E11" s="37">
        <f>E8-E10</f>
        <v>5524682.3323143078</v>
      </c>
      <c r="F11" s="37">
        <f>F8-F10</f>
        <v>4995820.9384050108</v>
      </c>
      <c r="G11" s="37">
        <f>G8-G10</f>
        <v>4427294.9399525169</v>
      </c>
    </row>
    <row r="13" spans="2:8" ht="15.75" customHeight="1">
      <c r="B13" s="63" t="s">
        <v>183</v>
      </c>
      <c r="C13" s="64"/>
      <c r="D13" s="64"/>
      <c r="E13" s="64"/>
      <c r="F13" s="64"/>
      <c r="G13" s="64"/>
      <c r="H13" s="38"/>
    </row>
    <row r="14" spans="2:8" ht="15.75" customHeight="1">
      <c r="B14" s="21" t="s">
        <v>177</v>
      </c>
      <c r="D14" s="29">
        <f>'Deploymnet_&amp;_CAPEX_Schedule'!D14</f>
        <v>6900000</v>
      </c>
    </row>
    <row r="15" spans="2:8" ht="15.75" customHeight="1">
      <c r="B15" s="21" t="s">
        <v>178</v>
      </c>
      <c r="D15" s="29">
        <f>-PMT(Assumptions!E33,Assumptions!E34,Debt_Schedule!D14)</f>
        <v>943212.56883287022</v>
      </c>
    </row>
    <row r="16" spans="2:8" ht="15.75" customHeight="1">
      <c r="B16" s="23" t="s">
        <v>179</v>
      </c>
      <c r="C16" s="37">
        <v>0</v>
      </c>
      <c r="D16" s="37">
        <f>D14</f>
        <v>6900000</v>
      </c>
      <c r="E16" s="37">
        <f>D19</f>
        <v>6474287.4311671294</v>
      </c>
      <c r="F16" s="37">
        <f>E19</f>
        <v>6016646.4196717935</v>
      </c>
      <c r="G16" s="37">
        <f>F19</f>
        <v>5524682.3323143078</v>
      </c>
    </row>
    <row r="17" spans="2:8" ht="15.75" customHeight="1">
      <c r="B17" s="21" t="s">
        <v>180</v>
      </c>
      <c r="C17" s="29">
        <v>0</v>
      </c>
      <c r="D17" s="29">
        <f>D16*Assumptions!E33</f>
        <v>517500</v>
      </c>
      <c r="E17" s="29">
        <f>E16*Assumptions!F33</f>
        <v>485571.55733753467</v>
      </c>
      <c r="F17" s="29">
        <f>F16*Assumptions!G33</f>
        <v>451248.4814753845</v>
      </c>
      <c r="G17" s="29">
        <f>G16*Assumptions!H33</f>
        <v>414351.1749235731</v>
      </c>
    </row>
    <row r="18" spans="2:8" ht="15.75" customHeight="1">
      <c r="B18" s="21" t="s">
        <v>181</v>
      </c>
      <c r="C18" s="29">
        <v>0</v>
      </c>
      <c r="D18" s="29">
        <f>MIN($D$15-D17,$D$15)</f>
        <v>425712.56883287022</v>
      </c>
      <c r="E18" s="29">
        <f>MIN($D$15-E17,$D$15)</f>
        <v>457641.01149533555</v>
      </c>
      <c r="F18" s="29">
        <f>MIN($D$15-F17,$D$15)</f>
        <v>491964.08735748573</v>
      </c>
      <c r="G18" s="29">
        <f>MIN($D$15-G17,$D$15)</f>
        <v>528861.39390929719</v>
      </c>
    </row>
    <row r="19" spans="2:8" ht="15.75" customHeight="1">
      <c r="B19" s="23" t="s">
        <v>182</v>
      </c>
      <c r="C19" s="37">
        <v>0</v>
      </c>
      <c r="D19" s="37">
        <f>D16-D18</f>
        <v>6474287.4311671294</v>
      </c>
      <c r="E19" s="37">
        <f>E16-E18</f>
        <v>6016646.4196717935</v>
      </c>
      <c r="F19" s="37">
        <f>F16-F18</f>
        <v>5524682.3323143078</v>
      </c>
      <c r="G19" s="37">
        <f>G16-G18</f>
        <v>4995820.9384050108</v>
      </c>
    </row>
    <row r="21" spans="2:8" ht="15.75" customHeight="1">
      <c r="B21" s="63" t="s">
        <v>184</v>
      </c>
      <c r="C21" s="64"/>
      <c r="D21" s="64"/>
      <c r="E21" s="64"/>
      <c r="F21" s="64"/>
      <c r="G21" s="64"/>
      <c r="H21" s="38"/>
    </row>
    <row r="22" spans="2:8" ht="15.75" customHeight="1">
      <c r="B22" s="21" t="s">
        <v>177</v>
      </c>
      <c r="E22" s="29">
        <f>'Deploymnet_&amp;_CAPEX_Schedule'!E14</f>
        <v>10350000</v>
      </c>
    </row>
    <row r="23" spans="2:8" ht="15.75" customHeight="1">
      <c r="B23" s="21" t="s">
        <v>178</v>
      </c>
      <c r="E23" s="29">
        <f>-PMT(Assumptions!F33,Assumptions!F34,Debt_Schedule!E22)</f>
        <v>1414818.8532493056</v>
      </c>
    </row>
    <row r="24" spans="2:8" ht="15.75" customHeight="1">
      <c r="B24" s="23" t="s">
        <v>179</v>
      </c>
      <c r="C24" s="37">
        <v>0</v>
      </c>
      <c r="D24" s="37">
        <v>0</v>
      </c>
      <c r="E24" s="37">
        <f>E22</f>
        <v>10350000</v>
      </c>
      <c r="F24" s="37">
        <f>E27</f>
        <v>9711431.1467506941</v>
      </c>
      <c r="G24" s="37">
        <f>F27</f>
        <v>9024969.6295076907</v>
      </c>
    </row>
    <row r="25" spans="2:8" ht="15.75" customHeight="1">
      <c r="B25" s="21" t="s">
        <v>180</v>
      </c>
      <c r="C25" s="29">
        <v>0</v>
      </c>
      <c r="D25" s="29">
        <v>0</v>
      </c>
      <c r="E25" s="29">
        <f>E24*Assumptions!F33</f>
        <v>776250</v>
      </c>
      <c r="F25" s="29">
        <f>F24*Assumptions!G33</f>
        <v>728357.33600630204</v>
      </c>
      <c r="G25" s="29">
        <f>G24*Assumptions!H33</f>
        <v>676872.72221307678</v>
      </c>
    </row>
    <row r="26" spans="2:8" ht="15.75" customHeight="1">
      <c r="B26" s="21" t="s">
        <v>181</v>
      </c>
      <c r="C26" s="29">
        <v>0</v>
      </c>
      <c r="D26" s="29">
        <v>0</v>
      </c>
      <c r="E26" s="29">
        <f>MIN($E$23-E25,$E$23)</f>
        <v>638568.85324930563</v>
      </c>
      <c r="F26" s="29">
        <f>MIN($E$23-F25,$E$23)</f>
        <v>686461.51724300359</v>
      </c>
      <c r="G26" s="29">
        <f>MIN($E$23-G25,$E$23)</f>
        <v>737946.13103622885</v>
      </c>
    </row>
    <row r="27" spans="2:8" ht="15.75" customHeight="1">
      <c r="B27" s="23" t="s">
        <v>182</v>
      </c>
      <c r="C27" s="37">
        <v>0</v>
      </c>
      <c r="D27" s="37">
        <v>0</v>
      </c>
      <c r="E27" s="37">
        <f>E24-E26</f>
        <v>9711431.1467506941</v>
      </c>
      <c r="F27" s="37">
        <f>F24-F26</f>
        <v>9024969.6295076907</v>
      </c>
      <c r="G27" s="37">
        <f>G24-G26</f>
        <v>8287023.4984714622</v>
      </c>
    </row>
    <row r="29" spans="2:8" ht="15.75" customHeight="1">
      <c r="B29" s="63" t="s">
        <v>185</v>
      </c>
      <c r="C29" s="64"/>
      <c r="D29" s="64"/>
      <c r="E29" s="64"/>
      <c r="F29" s="64"/>
      <c r="G29" s="64"/>
      <c r="H29" s="38"/>
    </row>
    <row r="30" spans="2:8" ht="15.75" customHeight="1">
      <c r="B30" s="21" t="s">
        <v>177</v>
      </c>
      <c r="F30" s="29">
        <f>'Deploymnet_&amp;_CAPEX_Schedule'!F14</f>
        <v>10350000</v>
      </c>
    </row>
    <row r="31" spans="2:8" ht="15.75" customHeight="1">
      <c r="B31" s="21" t="s">
        <v>178</v>
      </c>
      <c r="F31" s="29">
        <f>-PMT(Assumptions!G33,Assumptions!G34,Debt_Schedule!F30)</f>
        <v>1414818.8532493056</v>
      </c>
    </row>
    <row r="32" spans="2:8" s="23" customFormat="1" ht="15.75" customHeight="1">
      <c r="B32" s="23" t="s">
        <v>179</v>
      </c>
      <c r="C32" s="37">
        <v>0</v>
      </c>
      <c r="D32" s="37">
        <v>0</v>
      </c>
      <c r="E32" s="37">
        <v>0</v>
      </c>
      <c r="F32" s="37">
        <f>F30</f>
        <v>10350000</v>
      </c>
      <c r="G32" s="37">
        <f>F35</f>
        <v>9711431.1467506941</v>
      </c>
    </row>
    <row r="33" spans="2:8" ht="15.75" customHeight="1">
      <c r="B33" s="21" t="s">
        <v>180</v>
      </c>
      <c r="C33" s="29">
        <v>0</v>
      </c>
      <c r="D33" s="29">
        <v>0</v>
      </c>
      <c r="E33" s="29">
        <v>0</v>
      </c>
      <c r="F33" s="29">
        <f>F32*Assumptions!G33</f>
        <v>776250</v>
      </c>
      <c r="G33" s="29">
        <f>G32*Assumptions!H33</f>
        <v>728357.33600630204</v>
      </c>
    </row>
    <row r="34" spans="2:8" ht="15.75" customHeight="1">
      <c r="B34" s="21" t="s">
        <v>181</v>
      </c>
      <c r="C34" s="29">
        <v>0</v>
      </c>
      <c r="D34" s="29">
        <v>0</v>
      </c>
      <c r="E34" s="29">
        <v>0</v>
      </c>
      <c r="F34" s="29">
        <f>MIN($F$31-F33,$F$31)</f>
        <v>638568.85324930563</v>
      </c>
      <c r="G34" s="29">
        <f>MIN($F$31-G33,$F$31)</f>
        <v>686461.51724300359</v>
      </c>
    </row>
    <row r="35" spans="2:8" s="23" customFormat="1" ht="15.75" customHeight="1">
      <c r="B35" s="23" t="s">
        <v>182</v>
      </c>
      <c r="C35" s="37">
        <v>0</v>
      </c>
      <c r="D35" s="37">
        <v>0</v>
      </c>
      <c r="E35" s="37">
        <v>0</v>
      </c>
      <c r="F35" s="37">
        <f>F32-F34</f>
        <v>9711431.1467506941</v>
      </c>
      <c r="G35" s="37">
        <f>G32-G34</f>
        <v>9024969.6295076907</v>
      </c>
    </row>
    <row r="37" spans="2:8" ht="15.75" customHeight="1">
      <c r="B37" s="63" t="s">
        <v>186</v>
      </c>
      <c r="C37" s="64"/>
      <c r="D37" s="64"/>
      <c r="E37" s="64"/>
      <c r="F37" s="64"/>
      <c r="G37" s="64"/>
      <c r="H37" s="38"/>
    </row>
    <row r="38" spans="2:8" ht="15.75" customHeight="1">
      <c r="B38" s="21" t="s">
        <v>177</v>
      </c>
      <c r="G38" s="29">
        <f>'Deploymnet_&amp;_CAPEX_Schedule'!G14</f>
        <v>10350000</v>
      </c>
    </row>
    <row r="39" spans="2:8" ht="15.75" customHeight="1">
      <c r="B39" s="21" t="s">
        <v>178</v>
      </c>
      <c r="G39" s="29">
        <f>-PMT(Assumptions!H33,Assumptions!H34,Debt_Schedule!G38)</f>
        <v>1414818.8532493056</v>
      </c>
    </row>
    <row r="40" spans="2:8" ht="15.75" customHeight="1">
      <c r="B40" s="23" t="s">
        <v>179</v>
      </c>
      <c r="C40" s="37">
        <v>0</v>
      </c>
      <c r="D40" s="37">
        <v>0</v>
      </c>
      <c r="E40" s="37">
        <v>0</v>
      </c>
      <c r="F40" s="37">
        <v>0</v>
      </c>
      <c r="G40" s="37">
        <f>G38</f>
        <v>10350000</v>
      </c>
    </row>
    <row r="41" spans="2:8" ht="15.75" customHeight="1">
      <c r="B41" s="21" t="s">
        <v>180</v>
      </c>
      <c r="C41" s="29">
        <v>0</v>
      </c>
      <c r="D41" s="29">
        <v>0</v>
      </c>
      <c r="E41" s="29">
        <v>0</v>
      </c>
      <c r="F41" s="29">
        <v>0</v>
      </c>
      <c r="G41" s="29">
        <f>G40*Assumptions!H33</f>
        <v>776250</v>
      </c>
    </row>
    <row r="42" spans="2:8" ht="15.75" customHeight="1">
      <c r="B42" s="21" t="s">
        <v>181</v>
      </c>
      <c r="C42" s="29">
        <v>0</v>
      </c>
      <c r="D42" s="29">
        <v>0</v>
      </c>
      <c r="E42" s="29">
        <v>0</v>
      </c>
      <c r="F42" s="29">
        <v>0</v>
      </c>
      <c r="G42" s="29">
        <f>MIN($G$39-G41,$G$39)</f>
        <v>638568.85324930563</v>
      </c>
    </row>
    <row r="43" spans="2:8" ht="15.75" customHeight="1">
      <c r="B43" s="23" t="s">
        <v>182</v>
      </c>
      <c r="C43" s="37">
        <v>0</v>
      </c>
      <c r="D43" s="37">
        <v>0</v>
      </c>
      <c r="E43" s="37">
        <v>0</v>
      </c>
      <c r="F43" s="37">
        <v>0</v>
      </c>
      <c r="G43" s="37">
        <f>G40-G42</f>
        <v>9711431.1467506941</v>
      </c>
    </row>
    <row r="45" spans="2:8" ht="15.75" customHeight="1">
      <c r="B45" s="63" t="s">
        <v>187</v>
      </c>
      <c r="C45" s="64"/>
      <c r="D45" s="64"/>
      <c r="E45" s="64"/>
      <c r="F45" s="64"/>
      <c r="G45" s="64"/>
      <c r="H45" s="38"/>
    </row>
    <row r="46" spans="2:8" ht="15.75" customHeight="1">
      <c r="B46" s="21" t="s">
        <v>188</v>
      </c>
      <c r="C46" s="29">
        <f t="shared" ref="C46:G47" si="0">SUM(C9,C17,C25,C33,C41)</f>
        <v>517500</v>
      </c>
      <c r="D46" s="29">
        <f t="shared" si="0"/>
        <v>1003071.5573375346</v>
      </c>
      <c r="E46" s="29">
        <f t="shared" si="0"/>
        <v>1713070.0388129191</v>
      </c>
      <c r="F46" s="29">
        <f t="shared" si="0"/>
        <v>2370206.9924052595</v>
      </c>
      <c r="G46" s="29">
        <f t="shared" si="0"/>
        <v>2970517.8035233277</v>
      </c>
    </row>
    <row r="47" spans="2:8" ht="15.75" customHeight="1">
      <c r="B47" s="21" t="s">
        <v>189</v>
      </c>
      <c r="C47" s="29">
        <f t="shared" si="0"/>
        <v>425712.56883287022</v>
      </c>
      <c r="D47" s="29">
        <f t="shared" si="0"/>
        <v>883353.58032820583</v>
      </c>
      <c r="E47" s="29">
        <f t="shared" si="0"/>
        <v>1588173.952102127</v>
      </c>
      <c r="F47" s="29">
        <f t="shared" si="0"/>
        <v>2345855.851759092</v>
      </c>
      <c r="G47" s="29">
        <f t="shared" si="0"/>
        <v>3160363.8938903296</v>
      </c>
    </row>
    <row r="48" spans="2:8" ht="16.5" customHeight="1">
      <c r="B48" s="21" t="s">
        <v>190</v>
      </c>
      <c r="C48" s="29">
        <f>'Deploymnet_&amp;_CAPEX_Schedule'!C14</f>
        <v>6900000</v>
      </c>
      <c r="D48" s="29">
        <f>'Deploymnet_&amp;_CAPEX_Schedule'!D14</f>
        <v>6900000</v>
      </c>
      <c r="E48" s="29">
        <f>'Deploymnet_&amp;_CAPEX_Schedule'!E14</f>
        <v>10350000</v>
      </c>
      <c r="F48" s="29">
        <f>'Deploymnet_&amp;_CAPEX_Schedule'!F14</f>
        <v>10350000</v>
      </c>
      <c r="G48" s="29">
        <f>'Deploymnet_&amp;_CAPEX_Schedule'!G14</f>
        <v>10350000</v>
      </c>
    </row>
    <row r="49" spans="2:7" ht="15.75" customHeight="1">
      <c r="B49" s="40" t="s">
        <v>191</v>
      </c>
      <c r="C49" s="41">
        <f>SUM(C11,C19,C27,C35,C43)</f>
        <v>6474287.4311671294</v>
      </c>
      <c r="D49" s="41">
        <f>SUM(D11,D19,D27,D35,D43)</f>
        <v>12490933.850838922</v>
      </c>
      <c r="E49" s="41">
        <f>SUM(E11,E19,E27,E35,E43)</f>
        <v>21252759.898736797</v>
      </c>
      <c r="F49" s="41">
        <f>SUM(F11,F19,F27,F35,F43)</f>
        <v>29256904.046977706</v>
      </c>
      <c r="G49" s="41">
        <f>SUM(G11,G19,G27,G35,G43)</f>
        <v>36446540.153087378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A1:H38"/>
  <sheetViews>
    <sheetView showGridLines="0" zoomScale="70" zoomScaleNormal="70" workbookViewId="0">
      <selection activeCell="A2" sqref="A2:XFD2"/>
    </sheetView>
  </sheetViews>
  <sheetFormatPr defaultColWidth="8.7265625" defaultRowHeight="16"/>
  <cols>
    <col min="1" max="1" width="3.6328125" style="21" customWidth="1"/>
    <col min="2" max="2" width="48.90625" style="21" customWidth="1"/>
    <col min="3" max="3" width="12.7265625" style="29" customWidth="1"/>
    <col min="4" max="5" width="11.6328125" style="29" customWidth="1"/>
    <col min="6" max="7" width="12.90625" style="29" bestFit="1" customWidth="1"/>
    <col min="8" max="8" width="7.81640625" style="29" customWidth="1"/>
    <col min="9" max="9" width="92.54296875" style="29" customWidth="1"/>
    <col min="10" max="16384" width="8.7265625" style="29"/>
  </cols>
  <sheetData>
    <row r="1" spans="1:8" s="21" customFormat="1" ht="30" customHeight="1"/>
    <row r="2" spans="1:8" s="75" customFormat="1" ht="26">
      <c r="B2" s="71" t="s">
        <v>192</v>
      </c>
      <c r="C2" s="74"/>
      <c r="D2" s="74"/>
      <c r="E2" s="74"/>
      <c r="F2" s="74"/>
      <c r="G2" s="74"/>
    </row>
    <row r="3" spans="1:8" s="21" customFormat="1" ht="15.75" customHeight="1">
      <c r="B3" s="24" t="s">
        <v>175</v>
      </c>
      <c r="C3" s="26">
        <f>Assumptions!D7</f>
        <v>46023</v>
      </c>
      <c r="D3" s="26">
        <f>Assumptions!E7</f>
        <v>46388</v>
      </c>
      <c r="E3" s="26">
        <f>Assumptions!F7</f>
        <v>46753</v>
      </c>
      <c r="F3" s="26">
        <f>Assumptions!G7</f>
        <v>47119</v>
      </c>
      <c r="G3" s="26">
        <f>Assumptions!H7</f>
        <v>47484</v>
      </c>
    </row>
    <row r="4" spans="1:8" s="21" customFormat="1" ht="15.75" customHeight="1">
      <c r="A4" s="21" t="s">
        <v>307</v>
      </c>
      <c r="B4" s="63" t="s">
        <v>308</v>
      </c>
      <c r="C4" s="64"/>
      <c r="D4" s="64"/>
      <c r="E4" s="64"/>
      <c r="F4" s="64"/>
      <c r="G4" s="64"/>
      <c r="H4" s="38"/>
    </row>
    <row r="5" spans="1:8" ht="15.75" customHeight="1">
      <c r="B5" s="21" t="s">
        <v>173</v>
      </c>
      <c r="C5" s="29">
        <f>'Deploymnet_&amp;_CAPEX_Schedule'!C22</f>
        <v>6900000</v>
      </c>
    </row>
    <row r="6" spans="1:8" ht="15.75" customHeight="1">
      <c r="B6" s="21" t="s">
        <v>194</v>
      </c>
      <c r="C6" s="29">
        <f>Assumptions!D57</f>
        <v>20</v>
      </c>
    </row>
    <row r="7" spans="1:8" ht="15.75" customHeight="1">
      <c r="B7" s="21" t="s">
        <v>195</v>
      </c>
      <c r="C7" s="29">
        <f>C5/C6</f>
        <v>345000</v>
      </c>
    </row>
    <row r="8" spans="1:8" ht="15.75" customHeight="1">
      <c r="B8" s="23" t="s">
        <v>196</v>
      </c>
      <c r="C8" s="29">
        <f>C7</f>
        <v>345000</v>
      </c>
      <c r="D8" s="29">
        <f>C7</f>
        <v>345000</v>
      </c>
      <c r="E8" s="29">
        <f>C7</f>
        <v>345000</v>
      </c>
      <c r="F8" s="29">
        <f>C7</f>
        <v>345000</v>
      </c>
      <c r="G8" s="29">
        <f>C7</f>
        <v>345000</v>
      </c>
    </row>
    <row r="10" spans="1:8" s="21" customFormat="1" ht="15.75" customHeight="1">
      <c r="B10" s="63" t="s">
        <v>197</v>
      </c>
      <c r="C10" s="64"/>
      <c r="D10" s="64"/>
      <c r="E10" s="64"/>
      <c r="F10" s="64"/>
      <c r="G10" s="64"/>
      <c r="H10" s="38"/>
    </row>
    <row r="11" spans="1:8" ht="15.75" customHeight="1">
      <c r="B11" s="21" t="s">
        <v>173</v>
      </c>
      <c r="D11" s="29">
        <f>'Deploymnet_&amp;_CAPEX_Schedule'!D22</f>
        <v>6900000</v>
      </c>
    </row>
    <row r="12" spans="1:8" ht="15.75" customHeight="1">
      <c r="B12" s="21" t="s">
        <v>194</v>
      </c>
      <c r="D12" s="29">
        <f>Assumptions!E57</f>
        <v>20</v>
      </c>
    </row>
    <row r="13" spans="1:8" ht="15.75" customHeight="1">
      <c r="B13" s="21" t="s">
        <v>195</v>
      </c>
      <c r="D13" s="29">
        <f>D11/D12</f>
        <v>345000</v>
      </c>
    </row>
    <row r="14" spans="1:8" ht="15.75" customHeight="1">
      <c r="B14" s="23" t="s">
        <v>196</v>
      </c>
      <c r="C14" s="29">
        <v>0</v>
      </c>
      <c r="D14" s="29">
        <f>D13</f>
        <v>345000</v>
      </c>
      <c r="E14" s="29">
        <f>D13</f>
        <v>345000</v>
      </c>
      <c r="F14" s="29">
        <f>D13</f>
        <v>345000</v>
      </c>
      <c r="G14" s="29">
        <f>D13</f>
        <v>345000</v>
      </c>
    </row>
    <row r="16" spans="1:8" s="21" customFormat="1" ht="15.75" customHeight="1">
      <c r="B16" s="63" t="s">
        <v>184</v>
      </c>
      <c r="C16" s="64"/>
      <c r="D16" s="64"/>
      <c r="E16" s="64"/>
      <c r="F16" s="64"/>
      <c r="G16" s="64"/>
      <c r="H16" s="38"/>
    </row>
    <row r="17" spans="2:8" ht="15.75" customHeight="1">
      <c r="B17" s="21" t="s">
        <v>173</v>
      </c>
      <c r="E17" s="29">
        <f>'Deploymnet_&amp;_CAPEX_Schedule'!E22</f>
        <v>10350000</v>
      </c>
    </row>
    <row r="18" spans="2:8" ht="15.75" customHeight="1">
      <c r="B18" s="21" t="s">
        <v>194</v>
      </c>
      <c r="E18" s="29">
        <f>Assumptions!F57</f>
        <v>20</v>
      </c>
    </row>
    <row r="19" spans="2:8" ht="15.75" customHeight="1">
      <c r="B19" s="21" t="s">
        <v>195</v>
      </c>
      <c r="E19" s="29">
        <f>E17/E18</f>
        <v>517500</v>
      </c>
    </row>
    <row r="20" spans="2:8" ht="15.75" customHeight="1">
      <c r="B20" s="23" t="s">
        <v>196</v>
      </c>
      <c r="C20" s="29">
        <v>0</v>
      </c>
      <c r="D20" s="29">
        <v>0</v>
      </c>
      <c r="E20" s="29">
        <f>E19</f>
        <v>517500</v>
      </c>
      <c r="F20" s="29">
        <f>E19</f>
        <v>517500</v>
      </c>
      <c r="G20" s="29">
        <f>E19</f>
        <v>517500</v>
      </c>
    </row>
    <row r="22" spans="2:8" s="21" customFormat="1" ht="15.75" customHeight="1">
      <c r="B22" s="63" t="s">
        <v>185</v>
      </c>
      <c r="C22" s="64"/>
      <c r="D22" s="64"/>
      <c r="E22" s="64"/>
      <c r="F22" s="64"/>
      <c r="G22" s="64"/>
      <c r="H22" s="38"/>
    </row>
    <row r="23" spans="2:8" ht="15.75" customHeight="1">
      <c r="B23" s="21" t="s">
        <v>173</v>
      </c>
      <c r="F23" s="29">
        <f>'Deploymnet_&amp;_CAPEX_Schedule'!F22</f>
        <v>10350000</v>
      </c>
    </row>
    <row r="24" spans="2:8" ht="15.75" customHeight="1">
      <c r="B24" s="21" t="s">
        <v>194</v>
      </c>
      <c r="F24" s="29">
        <f>Assumptions!G57</f>
        <v>20</v>
      </c>
    </row>
    <row r="25" spans="2:8" ht="15.75" customHeight="1">
      <c r="B25" s="21" t="s">
        <v>195</v>
      </c>
      <c r="F25" s="29">
        <f>F23/F24</f>
        <v>517500</v>
      </c>
    </row>
    <row r="26" spans="2:8" ht="15.75" customHeight="1">
      <c r="B26" s="23" t="s">
        <v>196</v>
      </c>
      <c r="C26" s="29">
        <v>0</v>
      </c>
      <c r="D26" s="29">
        <v>0</v>
      </c>
      <c r="E26" s="29">
        <v>0</v>
      </c>
      <c r="F26" s="29">
        <f>F25</f>
        <v>517500</v>
      </c>
      <c r="G26" s="29">
        <f>F25</f>
        <v>517500</v>
      </c>
    </row>
    <row r="28" spans="2:8" s="21" customFormat="1" ht="15.75" customHeight="1">
      <c r="B28" s="63" t="s">
        <v>198</v>
      </c>
      <c r="C28" s="64"/>
      <c r="D28" s="64"/>
      <c r="E28" s="64"/>
      <c r="F28" s="64"/>
      <c r="G28" s="64"/>
      <c r="H28" s="38"/>
    </row>
    <row r="29" spans="2:8" ht="15.75" customHeight="1">
      <c r="B29" s="21" t="s">
        <v>173</v>
      </c>
      <c r="G29" s="29">
        <f>'Deploymnet_&amp;_CAPEX_Schedule'!G22</f>
        <v>10350000</v>
      </c>
    </row>
    <row r="30" spans="2:8" ht="15.75" customHeight="1">
      <c r="B30" s="21" t="s">
        <v>194</v>
      </c>
      <c r="G30" s="29">
        <f>Assumptions!H57</f>
        <v>20</v>
      </c>
    </row>
    <row r="31" spans="2:8" ht="15.75" customHeight="1">
      <c r="B31" s="21" t="s">
        <v>195</v>
      </c>
      <c r="G31" s="29">
        <f>G29/G30</f>
        <v>517500</v>
      </c>
    </row>
    <row r="32" spans="2:8" ht="15.75" customHeight="1">
      <c r="B32" s="23" t="s">
        <v>196</v>
      </c>
      <c r="C32" s="29">
        <v>0</v>
      </c>
      <c r="D32" s="29">
        <v>0</v>
      </c>
      <c r="E32" s="29">
        <v>0</v>
      </c>
      <c r="F32" s="29">
        <v>0</v>
      </c>
      <c r="G32" s="29">
        <f>G31</f>
        <v>517500</v>
      </c>
    </row>
    <row r="34" spans="2:8" s="21" customFormat="1" ht="15.75" customHeight="1">
      <c r="B34" s="63" t="s">
        <v>199</v>
      </c>
      <c r="C34" s="64"/>
      <c r="D34" s="64"/>
      <c r="E34" s="64"/>
      <c r="F34" s="64"/>
      <c r="G34" s="64"/>
      <c r="H34" s="38"/>
    </row>
    <row r="35" spans="2:8" ht="15.75" customHeight="1">
      <c r="B35" s="23" t="s">
        <v>200</v>
      </c>
      <c r="C35" s="37">
        <f>SUM(C8,C14,C20,C26,C32)</f>
        <v>345000</v>
      </c>
      <c r="D35" s="37">
        <f>SUM(D8,D14,D20,D26,D32)</f>
        <v>690000</v>
      </c>
      <c r="E35" s="37">
        <f>SUM(E8,E14,E20,E26,E32)</f>
        <v>1207500</v>
      </c>
      <c r="F35" s="37">
        <f>SUM(F8,F14,F20,F26,F32)</f>
        <v>1725000</v>
      </c>
      <c r="G35" s="37">
        <f>SUM(G8,G14,G20,G26,G32)</f>
        <v>2242500</v>
      </c>
    </row>
    <row r="37" spans="2:8" s="21" customFormat="1" ht="15.75" customHeight="1">
      <c r="B37" s="63" t="s">
        <v>201</v>
      </c>
      <c r="C37" s="64"/>
      <c r="D37" s="64"/>
      <c r="E37" s="64"/>
      <c r="F37" s="64"/>
      <c r="G37" s="64"/>
      <c r="H37" s="38"/>
    </row>
    <row r="38" spans="2:8" ht="15.75" customHeight="1">
      <c r="B38" s="23" t="s">
        <v>202</v>
      </c>
      <c r="C38" s="37">
        <f>'Deploymnet_&amp;_CAPEX_Schedule'!C17</f>
        <v>4600000</v>
      </c>
      <c r="D38" s="37">
        <f>'Deploymnet_&amp;_CAPEX_Schedule'!D17</f>
        <v>4600000</v>
      </c>
      <c r="E38" s="37">
        <f>'Deploymnet_&amp;_CAPEX_Schedule'!E17</f>
        <v>6900000</v>
      </c>
      <c r="F38" s="37">
        <f>'Deploymnet_&amp;_CAPEX_Schedule'!F17</f>
        <v>6900000</v>
      </c>
      <c r="G38" s="37">
        <f>'Deploymnet_&amp;_CAPEX_Schedule'!G17</f>
        <v>6900000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9"/>
  </sheetPr>
  <dimension ref="B1:H46"/>
  <sheetViews>
    <sheetView showGridLines="0" zoomScale="51" zoomScaleNormal="51" workbookViewId="0">
      <selection activeCell="A2" sqref="A2:XFD2"/>
    </sheetView>
  </sheetViews>
  <sheetFormatPr defaultColWidth="8.7265625" defaultRowHeight="16"/>
  <cols>
    <col min="1" max="1" width="3.6328125" style="21" customWidth="1"/>
    <col min="2" max="2" width="40.54296875" style="21" customWidth="1"/>
    <col min="3" max="4" width="13.81640625" style="29" customWidth="1"/>
    <col min="5" max="7" width="15.08984375" style="29" customWidth="1"/>
    <col min="8" max="8" width="65.1796875" style="21" customWidth="1"/>
    <col min="9" max="16384" width="8.7265625" style="21"/>
  </cols>
  <sheetData>
    <row r="1" spans="2:8" ht="30" customHeight="1">
      <c r="C1" s="21"/>
      <c r="D1" s="21"/>
      <c r="E1" s="21"/>
      <c r="F1" s="21"/>
      <c r="G1" s="21"/>
    </row>
    <row r="2" spans="2:8" s="75" customFormat="1" ht="26">
      <c r="B2" s="71" t="s">
        <v>203</v>
      </c>
      <c r="C2" s="71"/>
      <c r="D2" s="71"/>
      <c r="E2" s="71"/>
      <c r="F2" s="71"/>
      <c r="G2" s="71"/>
    </row>
    <row r="3" spans="2:8" ht="15.75" customHeight="1">
      <c r="B3" s="24" t="s">
        <v>175</v>
      </c>
      <c r="C3" s="26">
        <f>Assumptions!D7</f>
        <v>46023</v>
      </c>
      <c r="D3" s="26">
        <f>Assumptions!E7</f>
        <v>46388</v>
      </c>
      <c r="E3" s="26">
        <f>Assumptions!F7</f>
        <v>46753</v>
      </c>
      <c r="F3" s="26">
        <f>Assumptions!G7</f>
        <v>47119</v>
      </c>
      <c r="G3" s="26">
        <f>Assumptions!H7</f>
        <v>47484</v>
      </c>
    </row>
    <row r="4" spans="2:8" ht="15.75" customHeight="1">
      <c r="B4" s="63" t="s">
        <v>193</v>
      </c>
      <c r="C4" s="64"/>
      <c r="D4" s="64"/>
      <c r="E4" s="64"/>
      <c r="F4" s="64"/>
      <c r="G4" s="64"/>
      <c r="H4" s="38"/>
    </row>
    <row r="5" spans="2:8" ht="15.75" customHeight="1">
      <c r="B5" s="21" t="s">
        <v>204</v>
      </c>
      <c r="C5" s="29">
        <f>Assumptions!D18*'Deploymnet_&amp;_CAPEX_Schedule'!$C$5*(1-Assumptions!D19)^0</f>
        <v>7000000</v>
      </c>
      <c r="D5" s="29">
        <f>Assumptions!E18*'Deploymnet_&amp;_CAPEX_Schedule'!$C$5*(1-Assumptions!E19)^1</f>
        <v>6965000</v>
      </c>
      <c r="E5" s="29">
        <f>Assumptions!F18*'Deploymnet_&amp;_CAPEX_Schedule'!$C$5*(1-Assumptions!F19)^2</f>
        <v>6930175</v>
      </c>
      <c r="F5" s="29">
        <f>Assumptions!G18*'Deploymnet_&amp;_CAPEX_Schedule'!$C$5*(1-Assumptions!G19)^3</f>
        <v>6895524.125</v>
      </c>
      <c r="G5" s="29">
        <f>Assumptions!H18*'Deploymnet_&amp;_CAPEX_Schedule'!$C$5*(1-Assumptions!H19)^4</f>
        <v>6861046.5043750005</v>
      </c>
    </row>
    <row r="6" spans="2:8" ht="15.75" customHeight="1">
      <c r="B6" s="21" t="s">
        <v>205</v>
      </c>
      <c r="C6" s="42">
        <f>Assumptions!D20*(1+Assumptions!D21)^0</f>
        <v>0.17</v>
      </c>
      <c r="D6" s="42">
        <f>Assumptions!E20*(1+Assumptions!E21)^1</f>
        <v>0.17424999999999999</v>
      </c>
      <c r="E6" s="42">
        <f>Assumptions!F20*(1+Assumptions!F21)^2</f>
        <v>0.17860624999999999</v>
      </c>
      <c r="F6" s="42">
        <f>Assumptions!G20*(1+Assumptions!G21)^3</f>
        <v>0.18307140624999999</v>
      </c>
      <c r="G6" s="42">
        <f>Assumptions!H20*(1+Assumptions!H21)^4</f>
        <v>0.18764819140624997</v>
      </c>
    </row>
    <row r="7" spans="2:8" ht="15.75" customHeight="1">
      <c r="B7" s="23" t="s">
        <v>206</v>
      </c>
      <c r="C7" s="37">
        <f>C6*C5</f>
        <v>1190000</v>
      </c>
      <c r="D7" s="37">
        <f>D6*D5</f>
        <v>1213651.25</v>
      </c>
      <c r="E7" s="37">
        <f>E6*E5</f>
        <v>1237772.56859375</v>
      </c>
      <c r="F7" s="37">
        <f>F6*F5</f>
        <v>1262373.2983945506</v>
      </c>
      <c r="G7" s="37">
        <f>G6*G5</f>
        <v>1287462.9677001424</v>
      </c>
    </row>
    <row r="8" spans="2:8" ht="15.75" customHeight="1">
      <c r="B8" s="23" t="s">
        <v>207</v>
      </c>
      <c r="C8" s="37">
        <f>Assumptions!D22*Assumptions!$D$10*(1+Assumptions!D21)^0</f>
        <v>500000</v>
      </c>
      <c r="D8" s="37">
        <f>Assumptions!E22*Assumptions!$D$10*(1+Assumptions!E21)^1</f>
        <v>512499.99999999994</v>
      </c>
      <c r="E8" s="37">
        <f>Assumptions!F22*Assumptions!$D$10*(1+Assumptions!F21)^2</f>
        <v>525312.5</v>
      </c>
      <c r="F8" s="37">
        <f>Assumptions!G22*Assumptions!$D$10*(1+Assumptions!G21)^3</f>
        <v>538445.31249999988</v>
      </c>
      <c r="G8" s="37">
        <f>Assumptions!H22*Assumptions!$D$10*(1+Assumptions!H21)^4</f>
        <v>551906.44531249988</v>
      </c>
    </row>
    <row r="10" spans="2:8" ht="15.75" customHeight="1">
      <c r="B10" s="63" t="s">
        <v>208</v>
      </c>
      <c r="C10" s="64"/>
      <c r="D10" s="64"/>
      <c r="E10" s="64"/>
      <c r="F10" s="64"/>
      <c r="G10" s="64"/>
      <c r="H10" s="38"/>
    </row>
    <row r="11" spans="2:8" ht="15.75" customHeight="1">
      <c r="B11" s="21" t="s">
        <v>204</v>
      </c>
      <c r="C11" s="29">
        <v>0</v>
      </c>
      <c r="D11" s="29">
        <f>Assumptions!E18*Assumptions!$E$10*(1-Assumptions!E19)^0</f>
        <v>7000000</v>
      </c>
      <c r="E11" s="29">
        <f>Assumptions!F18*Assumptions!$E$10*(1-Assumptions!F19)^1</f>
        <v>6965000</v>
      </c>
      <c r="F11" s="29">
        <f>Assumptions!G18*Assumptions!$E$10*(1-Assumptions!G19)^2</f>
        <v>6930175</v>
      </c>
      <c r="G11" s="29">
        <f>Assumptions!H18*Assumptions!$E$10*(1-Assumptions!H19)^3</f>
        <v>6895524.125</v>
      </c>
    </row>
    <row r="12" spans="2:8" ht="15.75" customHeight="1">
      <c r="B12" s="21" t="s">
        <v>205</v>
      </c>
      <c r="C12" s="29">
        <v>0</v>
      </c>
      <c r="D12" s="43">
        <f>Assumptions!E20*(1+Assumptions!E21)^0</f>
        <v>0.17</v>
      </c>
      <c r="E12" s="43">
        <f>Assumptions!F20*(1+Assumptions!F21)^1</f>
        <v>0.17424999999999999</v>
      </c>
      <c r="F12" s="43">
        <f>Assumptions!G20*(1+Assumptions!G21)^2</f>
        <v>0.17860624999999999</v>
      </c>
      <c r="G12" s="43">
        <f>Assumptions!H20*(1+Assumptions!H21)^3</f>
        <v>0.18307140624999999</v>
      </c>
    </row>
    <row r="13" spans="2:8" ht="15.75" customHeight="1">
      <c r="B13" s="23" t="s">
        <v>206</v>
      </c>
      <c r="C13" s="37">
        <v>0</v>
      </c>
      <c r="D13" s="37">
        <f>D12*D11</f>
        <v>1190000</v>
      </c>
      <c r="E13" s="37">
        <f>E12*E11</f>
        <v>1213651.25</v>
      </c>
      <c r="F13" s="37">
        <f>F12*F11</f>
        <v>1237772.56859375</v>
      </c>
      <c r="G13" s="37">
        <f>G12*G11</f>
        <v>1262373.2983945506</v>
      </c>
    </row>
    <row r="14" spans="2:8" ht="15.75" customHeight="1">
      <c r="B14" s="23" t="s">
        <v>207</v>
      </c>
      <c r="C14" s="37">
        <v>0</v>
      </c>
      <c r="D14" s="37">
        <f>Assumptions!E22*Assumptions!$E$10*(1+Assumptions!E21)^0</f>
        <v>500000</v>
      </c>
      <c r="E14" s="37">
        <f>Assumptions!F22*Assumptions!$E$10*(1+Assumptions!F21)^1</f>
        <v>512499.99999999994</v>
      </c>
      <c r="F14" s="37">
        <f>Assumptions!G22*Assumptions!$E$10*(1+Assumptions!G21)^2</f>
        <v>525312.5</v>
      </c>
      <c r="G14" s="37">
        <f>Assumptions!H22*Assumptions!$E$10*(1+Assumptions!H21)^3</f>
        <v>538445.31249999988</v>
      </c>
    </row>
    <row r="16" spans="2:8" ht="15.75" customHeight="1">
      <c r="B16" s="63" t="s">
        <v>209</v>
      </c>
      <c r="C16" s="64"/>
      <c r="D16" s="64"/>
      <c r="E16" s="64"/>
      <c r="F16" s="64"/>
      <c r="G16" s="64"/>
      <c r="H16" s="38"/>
    </row>
    <row r="17" spans="2:8" ht="15.75" customHeight="1">
      <c r="B17" s="21" t="s">
        <v>204</v>
      </c>
      <c r="C17" s="29">
        <v>0</v>
      </c>
      <c r="D17" s="29">
        <v>0</v>
      </c>
      <c r="E17" s="29">
        <f>Assumptions!F18*Assumptions!$F$10*(1-Assumptions!F19)^0</f>
        <v>10500000</v>
      </c>
      <c r="F17" s="29">
        <f>Assumptions!G18*Assumptions!$F$10*(1-Assumptions!G19)^1</f>
        <v>10447500</v>
      </c>
      <c r="G17" s="29">
        <f>Assumptions!H18*Assumptions!$F$10*(1-Assumptions!H19)^2</f>
        <v>10395262.5</v>
      </c>
    </row>
    <row r="18" spans="2:8" ht="15.75" customHeight="1">
      <c r="B18" s="21" t="s">
        <v>205</v>
      </c>
      <c r="C18" s="29">
        <v>0</v>
      </c>
      <c r="D18" s="29">
        <v>0</v>
      </c>
      <c r="E18" s="43">
        <f>Assumptions!F20*(1+Assumptions!F21)^0</f>
        <v>0.17</v>
      </c>
      <c r="F18" s="43">
        <f>Assumptions!G20*(1+Assumptions!G21)^1</f>
        <v>0.17424999999999999</v>
      </c>
      <c r="G18" s="43">
        <f>Assumptions!H20*(1+Assumptions!H21)^2</f>
        <v>0.17860624999999999</v>
      </c>
    </row>
    <row r="19" spans="2:8" ht="15.75" customHeight="1">
      <c r="B19" s="23" t="s">
        <v>206</v>
      </c>
      <c r="C19" s="37">
        <v>0</v>
      </c>
      <c r="D19" s="37">
        <v>0</v>
      </c>
      <c r="E19" s="37">
        <f>E17*E18</f>
        <v>1785000.0000000002</v>
      </c>
      <c r="F19" s="37">
        <f>F17*F18</f>
        <v>1820476.8749999998</v>
      </c>
      <c r="G19" s="37">
        <f>G17*G18</f>
        <v>1856658.8528906249</v>
      </c>
    </row>
    <row r="20" spans="2:8" ht="15.75" customHeight="1">
      <c r="B20" s="23" t="s">
        <v>207</v>
      </c>
      <c r="C20" s="37">
        <v>0</v>
      </c>
      <c r="D20" s="37">
        <v>0</v>
      </c>
      <c r="E20" s="37">
        <f>Assumptions!F22*Assumptions!$F$10*(1+Assumptions!E21)^0</f>
        <v>750000</v>
      </c>
      <c r="F20" s="37">
        <f>Assumptions!G22*Assumptions!$F$10*(1+Assumptions!F21)^1</f>
        <v>768749.99999999988</v>
      </c>
      <c r="G20" s="37">
        <f>Assumptions!H22*Assumptions!$F$10*(1+Assumptions!G21)^2</f>
        <v>787968.74999999988</v>
      </c>
    </row>
    <row r="22" spans="2:8" ht="15.75" customHeight="1">
      <c r="B22" s="63" t="s">
        <v>210</v>
      </c>
      <c r="C22" s="64"/>
      <c r="D22" s="64"/>
      <c r="E22" s="64"/>
      <c r="F22" s="64"/>
      <c r="G22" s="64"/>
      <c r="H22" s="38"/>
    </row>
    <row r="23" spans="2:8" ht="15.75" customHeight="1">
      <c r="B23" s="21" t="s">
        <v>204</v>
      </c>
      <c r="C23" s="29">
        <v>0</v>
      </c>
      <c r="D23" s="29">
        <v>0</v>
      </c>
      <c r="E23" s="29">
        <v>0</v>
      </c>
      <c r="F23" s="29">
        <f>Assumptions!G18*Assumptions!$G$10*(1-Assumptions!G19)^0</f>
        <v>10500000</v>
      </c>
      <c r="G23" s="29">
        <f>Assumptions!H18*Assumptions!$G$10*(1-Assumptions!H19)^1</f>
        <v>10447500</v>
      </c>
    </row>
    <row r="24" spans="2:8" ht="15.75" customHeight="1">
      <c r="B24" s="21" t="s">
        <v>205</v>
      </c>
      <c r="C24" s="29">
        <v>0</v>
      </c>
      <c r="D24" s="29">
        <v>0</v>
      </c>
      <c r="E24" s="29">
        <v>0</v>
      </c>
      <c r="F24" s="42">
        <f>Assumptions!G20*(1+Assumptions!G21)^0</f>
        <v>0.17</v>
      </c>
      <c r="G24" s="42">
        <f>Assumptions!H20*(1+Assumptions!H21)^1</f>
        <v>0.17424999999999999</v>
      </c>
    </row>
    <row r="25" spans="2:8" ht="15.75" customHeight="1">
      <c r="B25" s="23" t="s">
        <v>206</v>
      </c>
      <c r="C25" s="37">
        <v>0</v>
      </c>
      <c r="D25" s="37">
        <v>0</v>
      </c>
      <c r="E25" s="37">
        <v>0</v>
      </c>
      <c r="F25" s="37">
        <f>F23*F24</f>
        <v>1785000.0000000002</v>
      </c>
      <c r="G25" s="37">
        <f>G23*G24</f>
        <v>1820476.8749999998</v>
      </c>
    </row>
    <row r="26" spans="2:8" ht="15.75" customHeight="1">
      <c r="B26" s="23" t="s">
        <v>207</v>
      </c>
      <c r="C26" s="37">
        <v>0</v>
      </c>
      <c r="D26" s="37">
        <v>0</v>
      </c>
      <c r="E26" s="37">
        <v>0</v>
      </c>
      <c r="F26" s="37">
        <f>Assumptions!G22*Assumptions!$G$10*(1+Assumptions!G21)^0</f>
        <v>750000</v>
      </c>
      <c r="G26" s="37">
        <f>Assumptions!H22*Assumptions!$G$10*(1+Assumptions!H21)^1</f>
        <v>768749.99999999988</v>
      </c>
    </row>
    <row r="28" spans="2:8" ht="15.75" customHeight="1">
      <c r="B28" s="63" t="s">
        <v>186</v>
      </c>
      <c r="C28" s="64"/>
      <c r="D28" s="64"/>
      <c r="E28" s="64"/>
      <c r="F28" s="64"/>
      <c r="G28" s="64"/>
      <c r="H28" s="38"/>
    </row>
    <row r="29" spans="2:8" ht="15.75" customHeight="1">
      <c r="B29" s="21" t="s">
        <v>204</v>
      </c>
      <c r="C29" s="29">
        <v>0</v>
      </c>
      <c r="D29" s="29">
        <v>0</v>
      </c>
      <c r="E29" s="29">
        <v>0</v>
      </c>
      <c r="F29" s="29">
        <v>0</v>
      </c>
      <c r="G29" s="29">
        <f>Assumptions!H18*Assumptions!H10*(1-Assumptions!H19)^0</f>
        <v>10500000</v>
      </c>
    </row>
    <row r="30" spans="2:8" ht="15.75" customHeight="1">
      <c r="B30" s="21" t="s">
        <v>205</v>
      </c>
      <c r="C30" s="29">
        <v>0</v>
      </c>
      <c r="D30" s="29">
        <v>0</v>
      </c>
      <c r="E30" s="29">
        <v>0</v>
      </c>
      <c r="F30" s="29">
        <v>0</v>
      </c>
      <c r="G30" s="42">
        <f>Assumptions!H20*(1+Assumptions!H21)^0</f>
        <v>0.17</v>
      </c>
    </row>
    <row r="31" spans="2:8" ht="15.75" customHeight="1">
      <c r="B31" s="23" t="s">
        <v>206</v>
      </c>
      <c r="C31" s="37">
        <v>0</v>
      </c>
      <c r="D31" s="37">
        <v>0</v>
      </c>
      <c r="E31" s="37">
        <v>0</v>
      </c>
      <c r="F31" s="37">
        <v>0</v>
      </c>
      <c r="G31" s="37">
        <f>G29*G30</f>
        <v>1785000.0000000002</v>
      </c>
    </row>
    <row r="32" spans="2:8" ht="15.75" customHeight="1">
      <c r="B32" s="23" t="s">
        <v>207</v>
      </c>
      <c r="C32" s="37">
        <v>0</v>
      </c>
      <c r="D32" s="37">
        <v>0</v>
      </c>
      <c r="E32" s="37">
        <v>0</v>
      </c>
      <c r="F32" s="37">
        <v>0</v>
      </c>
      <c r="G32" s="37">
        <f>Assumptions!H22*Assumptions!H10</f>
        <v>750000</v>
      </c>
    </row>
    <row r="34" spans="2:8" ht="15.75" customHeight="1">
      <c r="B34" s="63" t="s">
        <v>211</v>
      </c>
      <c r="C34" s="64"/>
      <c r="D34" s="64"/>
      <c r="E34" s="64"/>
      <c r="F34" s="64"/>
      <c r="G34" s="64"/>
      <c r="H34" s="38"/>
    </row>
    <row r="35" spans="2:8" ht="15.75" customHeight="1">
      <c r="B35" s="23" t="s">
        <v>212</v>
      </c>
      <c r="C35" s="37">
        <f t="shared" ref="C35:G36" si="0">SUM(C7,C13,C19,C25,C31)</f>
        <v>1190000</v>
      </c>
      <c r="D35" s="37">
        <f t="shared" si="0"/>
        <v>2403651.25</v>
      </c>
      <c r="E35" s="37">
        <f t="shared" si="0"/>
        <v>4236423.8185937498</v>
      </c>
      <c r="F35" s="37">
        <f t="shared" si="0"/>
        <v>6105622.7419883003</v>
      </c>
      <c r="G35" s="37">
        <f t="shared" si="0"/>
        <v>8011971.9939853176</v>
      </c>
    </row>
    <row r="36" spans="2:8" ht="15.75" customHeight="1">
      <c r="B36" s="23" t="s">
        <v>213</v>
      </c>
      <c r="C36" s="37">
        <f t="shared" si="0"/>
        <v>500000</v>
      </c>
      <c r="D36" s="37">
        <f t="shared" si="0"/>
        <v>1012500</v>
      </c>
      <c r="E36" s="37">
        <f t="shared" si="0"/>
        <v>1787812.5</v>
      </c>
      <c r="F36" s="37">
        <f t="shared" si="0"/>
        <v>2582507.8125</v>
      </c>
      <c r="G36" s="37">
        <f t="shared" si="0"/>
        <v>3397070.5078124995</v>
      </c>
    </row>
    <row r="37" spans="2:8" ht="15.75" customHeight="1">
      <c r="B37" s="21" t="s">
        <v>214</v>
      </c>
      <c r="C37" s="29">
        <f>C35*Assumptions!D23</f>
        <v>178500</v>
      </c>
      <c r="D37" s="29">
        <f>D35*Assumptions!E23</f>
        <v>360547.6875</v>
      </c>
      <c r="E37" s="29">
        <f>E35*Assumptions!F23</f>
        <v>635463.5727890624</v>
      </c>
      <c r="F37" s="29">
        <f>F35*Assumptions!G23</f>
        <v>915843.41129824508</v>
      </c>
      <c r="G37" s="29">
        <f>G35*Assumptions!H23</f>
        <v>1201795.7990977976</v>
      </c>
    </row>
    <row r="39" spans="2:8" ht="15.75" customHeight="1">
      <c r="B39" s="63" t="s">
        <v>215</v>
      </c>
      <c r="C39" s="64"/>
      <c r="D39" s="64"/>
      <c r="E39" s="64"/>
      <c r="F39" s="64"/>
      <c r="G39" s="64"/>
      <c r="H39" s="38"/>
    </row>
    <row r="40" spans="2:8" ht="15.75" customHeight="1">
      <c r="B40" s="23" t="s">
        <v>216</v>
      </c>
      <c r="C40" s="37">
        <f>Assumptions!D27</f>
        <v>0</v>
      </c>
      <c r="D40" s="37">
        <f>Assumptions!E27</f>
        <v>150000</v>
      </c>
      <c r="E40" s="37">
        <f>Assumptions!F27</f>
        <v>450000</v>
      </c>
      <c r="F40" s="37">
        <f>Assumptions!G27</f>
        <v>1000000</v>
      </c>
      <c r="G40" s="37">
        <f>Assumptions!H27</f>
        <v>1900000</v>
      </c>
    </row>
    <row r="41" spans="2:8" ht="15.75" customHeight="1">
      <c r="B41" s="21" t="s">
        <v>217</v>
      </c>
      <c r="C41" s="29">
        <f>C40*(1-Assumptions!D28)</f>
        <v>0</v>
      </c>
      <c r="D41" s="29">
        <f>D40*(1-Assumptions!E28)</f>
        <v>37500</v>
      </c>
      <c r="E41" s="29">
        <f>E40*(1-Assumptions!F28)</f>
        <v>112500</v>
      </c>
      <c r="F41" s="29">
        <f>F40*(1-Assumptions!G28)</f>
        <v>250000</v>
      </c>
      <c r="G41" s="29">
        <f>G40*(1-Assumptions!H28)</f>
        <v>475000</v>
      </c>
    </row>
    <row r="43" spans="2:8" ht="15.75" customHeight="1">
      <c r="B43" s="63" t="s">
        <v>218</v>
      </c>
      <c r="C43" s="64"/>
      <c r="D43" s="64"/>
      <c r="E43" s="64"/>
      <c r="F43" s="64"/>
      <c r="G43" s="64"/>
      <c r="H43" s="38"/>
    </row>
    <row r="44" spans="2:8" ht="15.75" customHeight="1">
      <c r="B44" s="23" t="s">
        <v>219</v>
      </c>
      <c r="C44" s="37">
        <f>SUM(C35,C36,C40)</f>
        <v>1690000</v>
      </c>
      <c r="D44" s="37">
        <f>SUM(D35,D36,D40)</f>
        <v>3566151.25</v>
      </c>
      <c r="E44" s="37">
        <f>SUM(E35,E36,E40)</f>
        <v>6474236.3185937498</v>
      </c>
      <c r="F44" s="37">
        <f>SUM(F35,F36,F40)</f>
        <v>9688130.5544883013</v>
      </c>
      <c r="G44" s="37">
        <f>SUM(G35,G36,G40)</f>
        <v>13309042.501797818</v>
      </c>
    </row>
    <row r="45" spans="2:8" ht="15.75" customHeight="1">
      <c r="B45" s="21" t="s">
        <v>220</v>
      </c>
      <c r="C45" s="35">
        <f>C35/C44</f>
        <v>0.70414201183431957</v>
      </c>
      <c r="D45" s="35">
        <f>D35/D44</f>
        <v>0.67401831316044147</v>
      </c>
      <c r="E45" s="35">
        <f>E35/E44</f>
        <v>0.65435112500093773</v>
      </c>
      <c r="F45" s="35">
        <f>F35/F44</f>
        <v>0.63021681093672888</v>
      </c>
      <c r="G45" s="35">
        <f>G35/G44</f>
        <v>0.60199462079282118</v>
      </c>
    </row>
    <row r="46" spans="2:8" ht="15.75" customHeight="1">
      <c r="B46" s="21" t="s">
        <v>221</v>
      </c>
      <c r="C46" s="44" t="s">
        <v>222</v>
      </c>
      <c r="D46" s="35">
        <f>D44/C44-1</f>
        <v>1.1101486686390531</v>
      </c>
      <c r="E46" s="35">
        <f>E44/D44-1</f>
        <v>0.81546879667365468</v>
      </c>
      <c r="F46" s="35">
        <f>F44/E44-1</f>
        <v>0.49641287060597006</v>
      </c>
      <c r="G46" s="35">
        <f>G44/F44-1</f>
        <v>0.37374722883271083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</sheetPr>
  <dimension ref="B1:R20"/>
  <sheetViews>
    <sheetView showGridLines="0" zoomScale="55" zoomScaleNormal="55" workbookViewId="0"/>
  </sheetViews>
  <sheetFormatPr defaultColWidth="8.7265625" defaultRowHeight="16"/>
  <cols>
    <col min="1" max="1" width="3.6328125" style="21" customWidth="1"/>
    <col min="2" max="2" width="46.1796875" style="21" customWidth="1"/>
    <col min="3" max="3" width="35.6328125" style="21" customWidth="1"/>
    <col min="4" max="4" width="13.453125" style="21" customWidth="1"/>
    <col min="5" max="5" width="14" style="21" customWidth="1"/>
    <col min="6" max="6" width="14.6328125" style="21" customWidth="1"/>
    <col min="7" max="16384" width="8.7265625" style="21"/>
  </cols>
  <sheetData>
    <row r="1" spans="2:18" ht="30" customHeight="1"/>
    <row r="2" spans="2:18" s="75" customFormat="1" ht="26">
      <c r="B2" s="71" t="s">
        <v>284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2:18" ht="5" customHeight="1"/>
    <row r="4" spans="2:18" ht="15.75" customHeight="1">
      <c r="B4" s="27" t="s">
        <v>285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2:18" ht="15.75" customHeight="1">
      <c r="B5" s="21" t="s">
        <v>286</v>
      </c>
      <c r="C5" s="28">
        <v>35000000</v>
      </c>
    </row>
    <row r="6" spans="2:18" ht="15.75" customHeight="1">
      <c r="B6" s="21" t="s">
        <v>287</v>
      </c>
      <c r="C6" s="28">
        <v>10000000</v>
      </c>
    </row>
    <row r="7" spans="2:18" ht="15.75" customHeight="1">
      <c r="B7" s="21" t="s">
        <v>288</v>
      </c>
      <c r="C7" s="29">
        <f>SUM(C5:C6)</f>
        <v>45000000</v>
      </c>
    </row>
    <row r="8" spans="2:18" ht="15.75" customHeight="1">
      <c r="B8" s="21" t="s">
        <v>289</v>
      </c>
      <c r="C8" s="35">
        <f>C6/C7</f>
        <v>0.22222222222222221</v>
      </c>
    </row>
    <row r="9" spans="2:18" ht="15.75" customHeight="1">
      <c r="B9" s="21" t="s">
        <v>290</v>
      </c>
      <c r="C9" s="34">
        <v>0.15</v>
      </c>
    </row>
    <row r="11" spans="2:18" ht="15.75" customHeight="1">
      <c r="B11" s="27" t="s">
        <v>291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</row>
    <row r="12" spans="2:18" ht="15.75" customHeight="1">
      <c r="B12" s="57" t="s">
        <v>292</v>
      </c>
      <c r="C12" s="57" t="s">
        <v>293</v>
      </c>
      <c r="D12" s="57" t="s">
        <v>294</v>
      </c>
      <c r="E12" s="57" t="s">
        <v>295</v>
      </c>
      <c r="F12" s="57" t="s">
        <v>296</v>
      </c>
    </row>
    <row r="13" spans="2:18" ht="15.75" customHeight="1">
      <c r="B13" s="21" t="s">
        <v>297</v>
      </c>
      <c r="C13" s="21" t="s">
        <v>298</v>
      </c>
      <c r="D13" s="34">
        <v>0.62</v>
      </c>
      <c r="E13" s="58">
        <f>(1-$C$8-$C$9)/(SUM(D13,D15,D16))</f>
        <v>0.71338383838383845</v>
      </c>
      <c r="F13" s="35">
        <f>E13*D13</f>
        <v>0.44229797979797986</v>
      </c>
    </row>
    <row r="14" spans="2:18" ht="15.75" customHeight="1">
      <c r="B14" s="21" t="s">
        <v>299</v>
      </c>
      <c r="C14" s="21" t="s">
        <v>300</v>
      </c>
      <c r="D14" s="34">
        <v>0.12</v>
      </c>
      <c r="E14" s="58">
        <f>$C$9/D14</f>
        <v>1.25</v>
      </c>
      <c r="F14" s="35">
        <f>E14*D14</f>
        <v>0.15</v>
      </c>
    </row>
    <row r="15" spans="2:18" ht="15.75" customHeight="1">
      <c r="B15" s="21" t="s">
        <v>94</v>
      </c>
      <c r="C15" s="21" t="s">
        <v>301</v>
      </c>
      <c r="D15" s="34">
        <v>0.08</v>
      </c>
      <c r="E15" s="58">
        <f>$E$13</f>
        <v>0.71338383838383845</v>
      </c>
      <c r="F15" s="35">
        <f>E15*D15</f>
        <v>5.7070707070707077E-2</v>
      </c>
    </row>
    <row r="16" spans="2:18" ht="15.75" customHeight="1">
      <c r="B16" s="21" t="s">
        <v>95</v>
      </c>
      <c r="C16" s="21" t="s">
        <v>302</v>
      </c>
      <c r="D16" s="34">
        <v>0.18</v>
      </c>
      <c r="E16" s="58">
        <f>$E$13</f>
        <v>0.71338383838383845</v>
      </c>
      <c r="F16" s="35">
        <f>E16*D16</f>
        <v>0.12840909090909092</v>
      </c>
    </row>
    <row r="17" spans="2:6" ht="15.75" customHeight="1">
      <c r="B17" s="21" t="s">
        <v>303</v>
      </c>
      <c r="D17" s="59">
        <f>SUM(D13:D16)</f>
        <v>1</v>
      </c>
    </row>
    <row r="19" spans="2:6" ht="16.5" customHeight="1">
      <c r="B19" s="21" t="s">
        <v>96</v>
      </c>
      <c r="C19" s="21" t="s">
        <v>302</v>
      </c>
      <c r="D19" s="21" t="s">
        <v>304</v>
      </c>
      <c r="F19" s="35">
        <f>$C$8</f>
        <v>0.22222222222222221</v>
      </c>
    </row>
    <row r="20" spans="2:6" ht="16.5" customHeight="1">
      <c r="B20" s="21" t="s">
        <v>305</v>
      </c>
      <c r="F20" s="60">
        <f>SUM(F13:F19)</f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B12"/>
  <sheetViews>
    <sheetView showGridLines="0" zoomScaleNormal="100" workbookViewId="0"/>
  </sheetViews>
  <sheetFormatPr defaultColWidth="8.7265625" defaultRowHeight="16"/>
  <cols>
    <col min="1" max="1" width="3.6328125" style="21" customWidth="1"/>
    <col min="2" max="16384" width="8.7265625" style="21"/>
  </cols>
  <sheetData>
    <row r="1" spans="2:2" ht="30" customHeight="1"/>
    <row r="2" spans="2:2" ht="15.75" customHeight="1">
      <c r="B2" s="61" t="s">
        <v>306</v>
      </c>
    </row>
    <row r="3" spans="2:2" ht="15.75" customHeight="1">
      <c r="B3" s="62">
        <v>46023</v>
      </c>
    </row>
    <row r="4" spans="2:2" ht="15.75" customHeight="1">
      <c r="B4" s="62">
        <v>46388</v>
      </c>
    </row>
    <row r="5" spans="2:2" ht="15.75" customHeight="1">
      <c r="B5" s="62">
        <v>46753</v>
      </c>
    </row>
    <row r="6" spans="2:2" ht="15.75" customHeight="1">
      <c r="B6" s="62">
        <v>47119</v>
      </c>
    </row>
    <row r="7" spans="2:2" ht="15.75" customHeight="1">
      <c r="B7" s="62">
        <v>47484</v>
      </c>
    </row>
    <row r="8" spans="2:2" ht="15.75" customHeight="1">
      <c r="B8" s="62">
        <v>47849</v>
      </c>
    </row>
    <row r="9" spans="2:2" ht="15.75" customHeight="1">
      <c r="B9" s="62">
        <v>48214</v>
      </c>
    </row>
    <row r="10" spans="2:2" ht="15.75" customHeight="1">
      <c r="B10" s="62">
        <v>48580</v>
      </c>
    </row>
    <row r="11" spans="2:2" ht="15.75" customHeight="1">
      <c r="B11" s="62">
        <v>48945</v>
      </c>
    </row>
    <row r="12" spans="2:2" ht="15.75" customHeight="1">
      <c r="B12" s="62">
        <v>49310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Dash_Source</vt:lpstr>
      <vt:lpstr>Assumptions</vt:lpstr>
      <vt:lpstr>Dashboard</vt:lpstr>
      <vt:lpstr>Income_Statement</vt:lpstr>
      <vt:lpstr>Balance_Sheet</vt:lpstr>
      <vt:lpstr>Cash_Flow</vt:lpstr>
      <vt:lpstr>Deploymnet_&amp;_CAPEX_Schedule</vt:lpstr>
      <vt:lpstr>Debt_Schedule</vt:lpstr>
      <vt:lpstr>Depreciation_ITC</vt:lpstr>
      <vt:lpstr>Revenue_Build</vt:lpstr>
      <vt:lpstr>Cap_Table</vt:lpstr>
      <vt:lpstr>MDM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Beabsira Yenezer</dc:creator>
  <dc:description/>
  <cp:lastModifiedBy>Beabsira Yenezer</cp:lastModifiedBy>
  <cp:revision>2</cp:revision>
  <dcterms:created xsi:type="dcterms:W3CDTF">2026-07-12T07:41:11Z</dcterms:created>
  <dcterms:modified xsi:type="dcterms:W3CDTF">2026-07-14T12:44:53Z</dcterms:modified>
  <dc:language>en-US</dc:language>
</cp:coreProperties>
</file>